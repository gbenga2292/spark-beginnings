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Mycloudex2ultra\accounts\ADMIN\"/>
    </mc:Choice>
  </mc:AlternateContent>
  <xr:revisionPtr revIDLastSave="0" documentId="13_ncr:1_{B7F1BFED-1EF2-4609-9184-FD613BC9CB56}" xr6:coauthVersionLast="47" xr6:coauthVersionMax="47" xr10:uidLastSave="{00000000-0000-0000-0000-000000000000}"/>
  <bookViews>
    <workbookView xWindow="-110" yWindow="-110" windowWidth="19420" windowHeight="10300" activeTab="1" xr2:uid="{A32834DC-C610-4A5E-9AEB-6893B1DB5A3D}"/>
  </bookViews>
  <sheets>
    <sheet name="Entry" sheetId="9" r:id="rId1"/>
    <sheet name="Expense Record" sheetId="10" r:id="rId2"/>
    <sheet name="Variables" sheetId="7" r:id="rId3"/>
    <sheet name="Summary of Expenses Category" sheetId="6" r:id="rId4"/>
    <sheet name="Summary Expenses Paid From" sheetId="8" r:id="rId5"/>
    <sheet name="Clients Summary" sheetId="13" r:id="rId6"/>
  </sheets>
  <functionGroups builtInGroupCount="19"/>
  <definedNames>
    <definedName name="Dcel">Variables!$N$6:$Q$6</definedName>
    <definedName name="Elfad">Variables!$N$7:$Q$7</definedName>
    <definedName name="FirstBank">Variables!$N$8:$Q$8</definedName>
    <definedName name="Levitikal">Variables!$N$11:$Q$11</definedName>
    <definedName name="southenergyx">Variables!$N$10:$Q$10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52" i="10" l="1"/>
  <c r="J1351" i="10"/>
  <c r="J1350" i="10"/>
  <c r="J1349" i="10"/>
  <c r="J1348" i="10"/>
  <c r="J1347" i="10"/>
  <c r="J1346" i="10"/>
  <c r="J1345" i="10"/>
  <c r="J1344" i="10"/>
  <c r="J1343" i="10"/>
  <c r="J1342" i="10"/>
  <c r="J1341" i="10"/>
  <c r="J1340" i="10"/>
  <c r="J1339" i="10"/>
  <c r="J1338" i="10"/>
  <c r="J1337" i="10"/>
  <c r="J1336" i="10"/>
  <c r="J1335" i="10"/>
  <c r="J1334" i="10"/>
  <c r="J1333" i="10"/>
  <c r="J1332" i="10"/>
  <c r="J1331" i="10"/>
  <c r="J1330" i="10"/>
  <c r="J1329" i="10"/>
  <c r="J1328" i="10"/>
  <c r="J1327" i="10"/>
  <c r="J1326" i="10"/>
  <c r="J1325" i="10"/>
  <c r="J1324" i="10"/>
  <c r="J1323" i="10"/>
  <c r="J1322" i="10"/>
  <c r="J1321" i="10"/>
  <c r="J1320" i="10" l="1"/>
  <c r="J1319" i="10"/>
  <c r="J1318" i="10"/>
  <c r="J1317" i="10"/>
  <c r="J1316" i="10"/>
  <c r="J1315" i="10"/>
  <c r="J1314" i="10"/>
  <c r="J1313" i="10"/>
  <c r="J1312" i="10"/>
  <c r="J1311" i="10"/>
  <c r="J1310" i="10"/>
  <c r="J1309" i="10"/>
  <c r="J1308" i="10"/>
  <c r="J1307" i="10"/>
  <c r="J1306" i="10"/>
  <c r="J1305" i="10"/>
  <c r="J1304" i="10"/>
  <c r="J1303" i="10"/>
  <c r="J1302" i="10"/>
  <c r="J1301" i="10"/>
  <c r="J1300" i="10"/>
  <c r="J1299" i="10"/>
  <c r="J1298" i="10"/>
  <c r="J1297" i="10"/>
  <c r="J1296" i="10"/>
  <c r="J1295" i="10"/>
  <c r="J1294" i="10"/>
  <c r="J1293" i="10"/>
  <c r="J1292" i="10"/>
  <c r="J1291" i="10"/>
  <c r="J1290" i="10"/>
  <c r="J1289" i="10"/>
  <c r="J1288" i="10"/>
  <c r="J1287" i="10"/>
  <c r="J1286" i="10"/>
  <c r="J1285" i="10"/>
  <c r="J1284" i="10"/>
  <c r="J1283" i="10"/>
  <c r="J1282" i="10"/>
  <c r="J1281" i="10"/>
  <c r="J1280" i="10"/>
  <c r="J1279" i="10"/>
  <c r="J1278" i="10"/>
  <c r="J1277" i="10"/>
  <c r="J1276" i="10"/>
  <c r="J1275" i="10"/>
  <c r="J1274" i="10"/>
  <c r="J1273" i="10"/>
  <c r="J1272" i="10"/>
  <c r="J1271" i="10"/>
  <c r="J1270" i="10"/>
  <c r="J1269" i="10"/>
  <c r="J1268" i="10"/>
  <c r="J1267" i="10"/>
  <c r="J1266" i="10"/>
  <c r="J1265" i="10"/>
  <c r="J1264" i="10"/>
  <c r="J1263" i="10"/>
  <c r="J1262" i="10"/>
  <c r="J1261" i="10"/>
  <c r="J1260" i="10"/>
  <c r="J1259" i="10"/>
  <c r="J1258" i="10"/>
  <c r="J1257" i="10"/>
  <c r="J1256" i="10"/>
  <c r="J1255" i="10"/>
  <c r="J1254" i="10"/>
  <c r="J1253" i="10"/>
  <c r="J1252" i="10"/>
  <c r="J1251" i="10"/>
  <c r="J1250" i="10"/>
  <c r="J1249" i="10"/>
  <c r="J1248" i="10"/>
  <c r="J1247" i="10"/>
  <c r="J1246" i="10"/>
  <c r="J1245" i="10"/>
  <c r="J1244" i="10"/>
  <c r="J1243" i="10"/>
  <c r="J1242" i="10"/>
  <c r="J1241" i="10"/>
  <c r="J1240" i="10"/>
  <c r="J1239" i="10"/>
  <c r="J1238" i="10"/>
  <c r="J1237" i="10"/>
  <c r="J1236" i="10"/>
  <c r="J1235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4" i="10"/>
  <c r="A2" i="13" l="1"/>
  <c r="A3" i="13"/>
  <c r="C3" i="13" s="1"/>
  <c r="A4" i="13"/>
  <c r="A5" i="13"/>
  <c r="C5" i="13" s="1"/>
  <c r="A6" i="13"/>
  <c r="I6" i="13" s="1"/>
  <c r="A7" i="13"/>
  <c r="C7" i="13" s="1"/>
  <c r="A8" i="13"/>
  <c r="A9" i="13"/>
  <c r="I2" i="13"/>
  <c r="C4" i="13"/>
  <c r="D4" i="13"/>
  <c r="D5" i="13"/>
  <c r="I5" i="13"/>
  <c r="E16" i="9"/>
  <c r="K3" i="7" a="1"/>
  <c r="K3" i="7" l="1"/>
  <c r="I7" i="13"/>
  <c r="I3" i="13"/>
  <c r="D7" i="13"/>
  <c r="D3" i="13"/>
  <c r="D6" i="13"/>
  <c r="C6" i="13"/>
  <c r="P9" i="13"/>
  <c r="D9" i="13"/>
  <c r="N9" i="13"/>
  <c r="M9" i="13"/>
  <c r="K9" i="13"/>
  <c r="C9" i="13"/>
  <c r="G9" i="13"/>
  <c r="J9" i="13"/>
  <c r="L9" i="13"/>
  <c r="N8" i="13"/>
  <c r="I9" i="13"/>
  <c r="F9" i="13"/>
  <c r="O9" i="13"/>
  <c r="E9" i="13"/>
  <c r="H9" i="13"/>
  <c r="E8" i="13"/>
  <c r="D8" i="13"/>
  <c r="F8" i="13"/>
  <c r="K8" i="13"/>
  <c r="O8" i="13"/>
  <c r="H8" i="13"/>
  <c r="L8" i="13"/>
  <c r="P8" i="13"/>
  <c r="I8" i="13"/>
  <c r="G8" i="13"/>
  <c r="M8" i="13"/>
  <c r="C8" i="13"/>
  <c r="J8" i="13"/>
  <c r="C2" i="13"/>
  <c r="D2" i="13"/>
  <c r="F3" i="13"/>
  <c r="G3" i="13"/>
  <c r="J3" i="13"/>
  <c r="H3" i="13"/>
  <c r="K3" i="13"/>
  <c r="E3" i="13"/>
  <c r="P3" i="13"/>
  <c r="P7" i="13"/>
  <c r="L3" i="13"/>
  <c r="N3" i="13"/>
  <c r="N7" i="13"/>
  <c r="O7" i="13"/>
  <c r="E7" i="13"/>
  <c r="F7" i="13"/>
  <c r="H7" i="13"/>
  <c r="G7" i="13"/>
  <c r="J7" i="13"/>
  <c r="K7" i="13"/>
  <c r="L7" i="13"/>
  <c r="M7" i="13"/>
  <c r="O3" i="13"/>
  <c r="P4" i="13"/>
  <c r="M2" i="13"/>
  <c r="I4" i="13"/>
  <c r="N6" i="13"/>
  <c r="E5" i="13"/>
  <c r="M3" i="13"/>
  <c r="J2" i="13"/>
  <c r="N2" i="13"/>
  <c r="G2" i="13"/>
  <c r="K2" i="13"/>
  <c r="O2" i="13"/>
  <c r="O6" i="13"/>
  <c r="P6" i="13"/>
  <c r="E2" i="13"/>
  <c r="H2" i="13"/>
  <c r="L2" i="13"/>
  <c r="P2" i="13"/>
  <c r="F6" i="13"/>
  <c r="H6" i="13"/>
  <c r="K6" i="13"/>
  <c r="F5" i="13"/>
  <c r="H5" i="13"/>
  <c r="G5" i="13"/>
  <c r="J5" i="13"/>
  <c r="K5" i="13"/>
  <c r="L5" i="13"/>
  <c r="M5" i="13"/>
  <c r="N5" i="13"/>
  <c r="O5" i="13"/>
  <c r="P5" i="13"/>
  <c r="F2" i="13"/>
  <c r="E6" i="13"/>
  <c r="G6" i="13"/>
  <c r="J6" i="13"/>
  <c r="L6" i="13"/>
  <c r="M6" i="13"/>
  <c r="E4" i="13"/>
  <c r="F4" i="13"/>
  <c r="H4" i="13"/>
  <c r="G4" i="13"/>
  <c r="J4" i="13"/>
  <c r="K4" i="13"/>
  <c r="L4" i="13"/>
  <c r="M4" i="13"/>
  <c r="N4" i="13"/>
  <c r="O4" i="13"/>
  <c r="P2" i="8"/>
  <c r="P6" i="8"/>
  <c r="P8" i="8"/>
  <c r="P9" i="8"/>
  <c r="O2" i="8"/>
  <c r="O6" i="8"/>
  <c r="O8" i="8"/>
  <c r="O9" i="8"/>
  <c r="N2" i="8"/>
  <c r="N6" i="8"/>
  <c r="N8" i="8"/>
  <c r="N9" i="8"/>
  <c r="M2" i="8"/>
  <c r="M6" i="8"/>
  <c r="M8" i="8"/>
  <c r="M9" i="8"/>
  <c r="L2" i="8"/>
  <c r="L6" i="8"/>
  <c r="L8" i="8"/>
  <c r="L9" i="8"/>
  <c r="K2" i="8"/>
  <c r="K6" i="8"/>
  <c r="K8" i="8"/>
  <c r="K9" i="8"/>
  <c r="J2" i="8"/>
  <c r="J6" i="8"/>
  <c r="J8" i="8"/>
  <c r="J9" i="8"/>
  <c r="I2" i="8"/>
  <c r="I6" i="8"/>
  <c r="I8" i="8"/>
  <c r="I9" i="8"/>
  <c r="H2" i="8"/>
  <c r="H6" i="8"/>
  <c r="H8" i="8"/>
  <c r="H9" i="8"/>
  <c r="G2" i="8"/>
  <c r="G6" i="8"/>
  <c r="G8" i="8"/>
  <c r="G9" i="8"/>
  <c r="F2" i="8"/>
  <c r="F6" i="8"/>
  <c r="F8" i="8"/>
  <c r="F9" i="8"/>
  <c r="E2" i="8"/>
  <c r="E6" i="8"/>
  <c r="E8" i="8"/>
  <c r="E9" i="8"/>
  <c r="C2" i="8"/>
  <c r="C3" i="8"/>
  <c r="C4" i="8"/>
  <c r="C5" i="8"/>
  <c r="C6" i="8"/>
  <c r="C7" i="8"/>
  <c r="C8" i="8"/>
  <c r="C9" i="8"/>
  <c r="D2" i="8"/>
  <c r="D3" i="8"/>
  <c r="D4" i="8"/>
  <c r="D5" i="8"/>
  <c r="D6" i="8"/>
  <c r="D7" i="8"/>
  <c r="D8" i="8"/>
  <c r="D9" i="8"/>
  <c r="P2" i="6"/>
  <c r="P3" i="6"/>
  <c r="P4" i="6"/>
  <c r="P5" i="6"/>
  <c r="P6" i="6"/>
  <c r="P7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O2" i="6"/>
  <c r="O3" i="6"/>
  <c r="O4" i="6"/>
  <c r="O5" i="6"/>
  <c r="O6" i="6"/>
  <c r="O7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N2" i="6"/>
  <c r="N3" i="6"/>
  <c r="N4" i="6"/>
  <c r="N5" i="6"/>
  <c r="N6" i="6"/>
  <c r="N7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M2" i="6"/>
  <c r="M3" i="6"/>
  <c r="M4" i="6"/>
  <c r="M5" i="6"/>
  <c r="M6" i="6"/>
  <c r="M7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L2" i="6"/>
  <c r="L3" i="6"/>
  <c r="L4" i="6"/>
  <c r="L5" i="6"/>
  <c r="L6" i="6"/>
  <c r="L7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K2" i="6"/>
  <c r="K3" i="6"/>
  <c r="K4" i="6"/>
  <c r="K5" i="6"/>
  <c r="K6" i="6"/>
  <c r="K7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J2" i="6"/>
  <c r="J3" i="6"/>
  <c r="J4" i="6"/>
  <c r="J5" i="6"/>
  <c r="J6" i="6"/>
  <c r="J7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I2" i="6"/>
  <c r="I3" i="6"/>
  <c r="I4" i="6"/>
  <c r="I5" i="6"/>
  <c r="I6" i="6"/>
  <c r="I7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H2" i="6"/>
  <c r="H3" i="6"/>
  <c r="H4" i="6"/>
  <c r="H5" i="6"/>
  <c r="H6" i="6"/>
  <c r="H7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G2" i="6"/>
  <c r="G3" i="6"/>
  <c r="G4" i="6"/>
  <c r="G5" i="6"/>
  <c r="G6" i="6"/>
  <c r="G7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F2" i="6"/>
  <c r="F3" i="6"/>
  <c r="F4" i="6"/>
  <c r="F5" i="6"/>
  <c r="F6" i="6"/>
  <c r="F7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E2" i="6"/>
  <c r="E3" i="6"/>
  <c r="E4" i="6"/>
  <c r="E5" i="6"/>
  <c r="E6" i="6"/>
  <c r="E7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E1" i="10"/>
  <c r="E1047491" i="10" s="1"/>
  <c r="C10" i="13" l="1"/>
  <c r="D10" i="13"/>
  <c r="B6" i="13"/>
  <c r="B4" i="13"/>
  <c r="B8" i="13"/>
  <c r="B5" i="13"/>
  <c r="I10" i="13"/>
  <c r="B3" i="13"/>
  <c r="B9" i="13"/>
  <c r="B7" i="13"/>
  <c r="B2" i="13"/>
  <c r="J10" i="13"/>
  <c r="E10" i="13"/>
  <c r="O10" i="13"/>
  <c r="F10" i="13"/>
  <c r="N10" i="13"/>
  <c r="M10" i="13"/>
  <c r="L10" i="13"/>
  <c r="K10" i="13"/>
  <c r="G10" i="13"/>
  <c r="H10" i="13"/>
  <c r="P10" i="13"/>
  <c r="P5" i="8"/>
  <c r="L9" i="6"/>
  <c r="P3" i="8"/>
  <c r="I8" i="6"/>
  <c r="G8" i="6"/>
  <c r="L8" i="6"/>
  <c r="N4" i="8"/>
  <c r="O8" i="6"/>
  <c r="K4" i="8"/>
  <c r="F8" i="6"/>
  <c r="M5" i="8"/>
  <c r="P4" i="8"/>
  <c r="N9" i="6"/>
  <c r="N8" i="6"/>
  <c r="H9" i="6"/>
  <c r="K8" i="6"/>
  <c r="P9" i="6"/>
  <c r="F5" i="8"/>
  <c r="I5" i="8"/>
  <c r="L5" i="8"/>
  <c r="O5" i="8"/>
  <c r="E9" i="6"/>
  <c r="H8" i="6"/>
  <c r="M9" i="6"/>
  <c r="P8" i="6"/>
  <c r="G5" i="8"/>
  <c r="J5" i="8"/>
  <c r="N5" i="8"/>
  <c r="E8" i="6"/>
  <c r="J9" i="6"/>
  <c r="M8" i="6"/>
  <c r="E7" i="8"/>
  <c r="F7" i="8"/>
  <c r="G7" i="8"/>
  <c r="H7" i="8"/>
  <c r="I7" i="8"/>
  <c r="J7" i="8"/>
  <c r="K7" i="8"/>
  <c r="L7" i="8"/>
  <c r="M7" i="8"/>
  <c r="N7" i="8"/>
  <c r="O7" i="8"/>
  <c r="P7" i="8"/>
  <c r="I9" i="6"/>
  <c r="K9" i="6"/>
  <c r="G9" i="6"/>
  <c r="J8" i="6"/>
  <c r="O9" i="6"/>
  <c r="E5" i="8"/>
  <c r="H5" i="8"/>
  <c r="K5" i="8"/>
  <c r="E4" i="8"/>
  <c r="F4" i="8"/>
  <c r="G4" i="8"/>
  <c r="H4" i="8"/>
  <c r="I4" i="8"/>
  <c r="J4" i="8"/>
  <c r="L4" i="8"/>
  <c r="M4" i="8"/>
  <c r="O4" i="8"/>
  <c r="F9" i="6"/>
  <c r="E3" i="8"/>
  <c r="F3" i="8"/>
  <c r="G3" i="8"/>
  <c r="H3" i="8"/>
  <c r="I3" i="8"/>
  <c r="J3" i="8"/>
  <c r="K3" i="8"/>
  <c r="L3" i="8"/>
  <c r="M3" i="8"/>
  <c r="N3" i="8"/>
  <c r="O3" i="8"/>
  <c r="C10" i="8"/>
  <c r="B6" i="8"/>
  <c r="B5" i="8"/>
  <c r="B4" i="8"/>
  <c r="B7" i="8"/>
  <c r="B3" i="8"/>
  <c r="B2" i="8"/>
  <c r="B9" i="8"/>
  <c r="B8" i="8"/>
  <c r="D10" i="8"/>
  <c r="H10" i="8" l="1"/>
  <c r="I10" i="8"/>
  <c r="N10" i="8"/>
  <c r="J10" i="8"/>
  <c r="O10" i="8"/>
  <c r="F10" i="8"/>
  <c r="K10" i="8"/>
  <c r="L10" i="8"/>
  <c r="P10" i="8"/>
  <c r="E10" i="8"/>
  <c r="G10" i="8"/>
  <c r="M10" i="8"/>
  <c r="H47" i="6" l="1"/>
  <c r="C47" i="6" l="1"/>
  <c r="D47" i="6"/>
  <c r="B8" i="6"/>
  <c r="B9" i="6"/>
  <c r="B17" i="6"/>
  <c r="B25" i="6"/>
  <c r="B33" i="6"/>
  <c r="B41" i="6"/>
  <c r="B28" i="6"/>
  <c r="B27" i="6"/>
  <c r="B43" i="6"/>
  <c r="B16" i="6"/>
  <c r="B24" i="6"/>
  <c r="B32" i="6"/>
  <c r="B40" i="6"/>
  <c r="B20" i="6"/>
  <c r="B35" i="6"/>
  <c r="B15" i="6"/>
  <c r="B23" i="6"/>
  <c r="B31" i="6"/>
  <c r="B39" i="6"/>
  <c r="B44" i="6"/>
  <c r="B14" i="6"/>
  <c r="B22" i="6"/>
  <c r="B30" i="6"/>
  <c r="B38" i="6"/>
  <c r="B46" i="6"/>
  <c r="B36" i="6"/>
  <c r="B19" i="6"/>
  <c r="B13" i="6"/>
  <c r="B21" i="6"/>
  <c r="B29" i="6"/>
  <c r="B37" i="6"/>
  <c r="B45" i="6"/>
  <c r="B12" i="6"/>
  <c r="B10" i="6"/>
  <c r="B18" i="6"/>
  <c r="B26" i="6"/>
  <c r="B34" i="6"/>
  <c r="B42" i="6"/>
  <c r="B11" i="6"/>
  <c r="B6" i="6"/>
  <c r="B5" i="6"/>
  <c r="B2" i="6"/>
  <c r="B4" i="6"/>
  <c r="B7" i="6"/>
  <c r="B3" i="6"/>
  <c r="E47" i="6" l="1"/>
  <c r="G47" i="6"/>
  <c r="M47" i="6"/>
  <c r="L47" i="6"/>
  <c r="N47" i="6"/>
  <c r="J47" i="6"/>
  <c r="I47" i="6"/>
  <c r="K47" i="6"/>
  <c r="F47" i="6"/>
  <c r="O47" i="6"/>
  <c r="P4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<sst xmlns="http://schemas.openxmlformats.org/spreadsheetml/2006/main" count="9727" uniqueCount="1381">
  <si>
    <t>Month</t>
  </si>
  <si>
    <t>Description</t>
  </si>
  <si>
    <t>Amount</t>
  </si>
  <si>
    <t>Category</t>
  </si>
  <si>
    <t>Office Maintenance</t>
  </si>
  <si>
    <t>Machine Maintenance</t>
  </si>
  <si>
    <t>Transaction Date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</si>
  <si>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</si>
  <si>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</si>
  <si>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</si>
  <si>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</si>
  <si>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</si>
  <si>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</si>
  <si>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</si>
  <si>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</si>
  <si>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</si>
  <si>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</si>
  <si>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</si>
  <si>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</si>
  <si>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Office Supplies</t>
  </si>
  <si>
    <t>Corporate Social Responsibility</t>
  </si>
  <si>
    <t>Local Transport</t>
  </si>
  <si>
    <t>Motor Vehicle Maintenance</t>
  </si>
  <si>
    <t>Repairs and Maintenance</t>
  </si>
  <si>
    <t>Government/Business/Regulatory</t>
  </si>
  <si>
    <t>Stationaries</t>
  </si>
  <si>
    <t>Payroll Expenses</t>
  </si>
  <si>
    <t>Office Consumables</t>
  </si>
  <si>
    <t>Bank Service Charges</t>
  </si>
  <si>
    <t>Salary</t>
  </si>
  <si>
    <t>Premises Maintenance</t>
  </si>
  <si>
    <t>Telephone Expense</t>
  </si>
  <si>
    <t>Office Consumables:Petrol</t>
  </si>
  <si>
    <t>Internet and Subs</t>
  </si>
  <si>
    <t>Medical</t>
  </si>
  <si>
    <t>Power and Electricity</t>
  </si>
  <si>
    <t>Business Travel Cost</t>
  </si>
  <si>
    <t>Meals and Entertainment</t>
  </si>
  <si>
    <t>Professional Fees</t>
  </si>
  <si>
    <t>Taxes:CIT/ EDT/PENALTY</t>
  </si>
  <si>
    <t>Petrol (Vehicle)</t>
  </si>
  <si>
    <t>Office Consumables:Diesel</t>
  </si>
  <si>
    <t>Training and Development</t>
  </si>
  <si>
    <t>Premises Service Charge</t>
  </si>
  <si>
    <t>Rent Expense</t>
  </si>
  <si>
    <t>Interest Expense</t>
  </si>
  <si>
    <t>Business Development</t>
  </si>
  <si>
    <t>Welfare</t>
  </si>
  <si>
    <t>CATEGORIES</t>
  </si>
  <si>
    <t>Administrative Fees</t>
  </si>
  <si>
    <t>Fixed Assets</t>
  </si>
  <si>
    <t>Total</t>
  </si>
  <si>
    <t>No. of Trans</t>
  </si>
  <si>
    <t>Mth</t>
  </si>
  <si>
    <t>Direct Cost</t>
  </si>
  <si>
    <t>Tools and Small Equipment</t>
  </si>
  <si>
    <t>PAYE</t>
  </si>
  <si>
    <t>Re-embursable Expense</t>
  </si>
  <si>
    <t>Totals</t>
  </si>
  <si>
    <t xml:space="preserve"> </t>
  </si>
  <si>
    <t>Rank</t>
  </si>
  <si>
    <t>Voucher No</t>
  </si>
  <si>
    <t>Voucher Date</t>
  </si>
  <si>
    <t>Client</t>
  </si>
  <si>
    <t>Site</t>
  </si>
  <si>
    <t>Elfad</t>
  </si>
  <si>
    <t>MC&amp;T</t>
  </si>
  <si>
    <t>South Energyx</t>
  </si>
  <si>
    <t>Louis Solomon</t>
  </si>
  <si>
    <t>Pay From</t>
  </si>
  <si>
    <t>Paid From</t>
  </si>
  <si>
    <t>Alfred Sarah</t>
  </si>
  <si>
    <t>Dcel</t>
  </si>
  <si>
    <t>Office</t>
  </si>
  <si>
    <t>Sites</t>
  </si>
  <si>
    <t>Clients</t>
  </si>
  <si>
    <t>Opertional Expenses</t>
  </si>
  <si>
    <t>Mth No</t>
  </si>
  <si>
    <t>VGC</t>
  </si>
  <si>
    <t>Eko Atlantic</t>
  </si>
  <si>
    <t>First Bank</t>
  </si>
  <si>
    <t>Tradefair</t>
  </si>
  <si>
    <t>Client Rent</t>
  </si>
  <si>
    <t>VAT</t>
  </si>
  <si>
    <t>NSITF</t>
  </si>
  <si>
    <t>Furnitures and Fitting</t>
  </si>
  <si>
    <t>Loan Repayments</t>
  </si>
  <si>
    <t>Fines</t>
  </si>
  <si>
    <t>T&amp;T Allowance</t>
  </si>
  <si>
    <t>Abibu Oki</t>
  </si>
  <si>
    <t>FCMB</t>
  </si>
  <si>
    <t>Stanbic IBTC (Main Acct)</t>
  </si>
  <si>
    <t>Stanbic IBTC (Salary)</t>
  </si>
  <si>
    <t>Stanbic IBTC (Construction)</t>
  </si>
  <si>
    <t>Stanbic IBTC (Import)</t>
  </si>
  <si>
    <t>Sterling</t>
  </si>
  <si>
    <t>Cost of Goods</t>
  </si>
  <si>
    <t>Levitikal</t>
  </si>
  <si>
    <t>Falomo</t>
  </si>
  <si>
    <t>VOUCHER NUMBER</t>
  </si>
  <si>
    <t>VOUCHER DATE</t>
  </si>
  <si>
    <t>S/N</t>
  </si>
  <si>
    <t>PAID FROM</t>
  </si>
  <si>
    <t>USERS</t>
  </si>
  <si>
    <t>PASSWORD</t>
  </si>
  <si>
    <t>admin1</t>
  </si>
  <si>
    <t>Udeme Angela</t>
  </si>
  <si>
    <t>ENTERED BY</t>
  </si>
  <si>
    <t>Alonge Olatunde</t>
  </si>
  <si>
    <t>alonge</t>
  </si>
  <si>
    <t>LEDGER ENTRY SYSTEM</t>
  </si>
  <si>
    <t>Site 2</t>
  </si>
  <si>
    <t>Site 3</t>
  </si>
  <si>
    <t>Site 4</t>
  </si>
  <si>
    <t>site 1</t>
  </si>
  <si>
    <t>Entered By</t>
  </si>
  <si>
    <t>VN-01-02-01</t>
  </si>
  <si>
    <t>Transportation to site (Mc&amp;T)</t>
  </si>
  <si>
    <t>Diesel for site (Mc&amp;T)</t>
  </si>
  <si>
    <t>VN-01-06-01</t>
  </si>
  <si>
    <t>Medicals for site workers</t>
  </si>
  <si>
    <t>Drinking water for office</t>
  </si>
  <si>
    <t>Toileteries for office use</t>
  </si>
  <si>
    <t>Overtime for site workers</t>
  </si>
  <si>
    <t>Internet for office</t>
  </si>
  <si>
    <t>Parts for hatz engine</t>
  </si>
  <si>
    <t>Petrol &amp; lubricants for tundra</t>
  </si>
  <si>
    <t>L200 kickstarter</t>
  </si>
  <si>
    <t>Drycleaning of DCEL uniforms</t>
  </si>
  <si>
    <t xml:space="preserve">Petrol for vehicle </t>
  </si>
  <si>
    <t>Petrol &amp; Diesel for site</t>
  </si>
  <si>
    <t>VN-01-07-01</t>
  </si>
  <si>
    <t>Diesel for Hiab</t>
  </si>
  <si>
    <t>Petrol for generator</t>
  </si>
  <si>
    <t>Petrol for jetting</t>
  </si>
  <si>
    <t>VN-01-08-01</t>
  </si>
  <si>
    <t>Aluminium ladder for warehouse (2)</t>
  </si>
  <si>
    <t>Rent payment for office (panti)</t>
  </si>
  <si>
    <t>2" Clips</t>
  </si>
  <si>
    <t>Roll of 6" flat hose</t>
  </si>
  <si>
    <t>VN-01-09-01</t>
  </si>
  <si>
    <t>Transportation to site (Shoreline)</t>
  </si>
  <si>
    <t>Delivery to office</t>
  </si>
  <si>
    <t>2 Nuts for 2' pump</t>
  </si>
  <si>
    <t>Pumping of tyre</t>
  </si>
  <si>
    <t>Coffee for director</t>
  </si>
  <si>
    <t>VN-01-10-01</t>
  </si>
  <si>
    <t>G.S.T fees for Opeyemi</t>
  </si>
  <si>
    <t>G.S.T fees for Sarah</t>
  </si>
  <si>
    <t>School fees for Opeyemi</t>
  </si>
  <si>
    <t>School fees for Sarah</t>
  </si>
  <si>
    <t>Utility fees for Opeyemi</t>
  </si>
  <si>
    <t>Utility fees for Sarah</t>
  </si>
  <si>
    <t>V.I.O penalty on L200</t>
  </si>
  <si>
    <t>Repair of HIAB</t>
  </si>
  <si>
    <t>VN-01-10-02</t>
  </si>
  <si>
    <t>Purchase of HIAB parts</t>
  </si>
  <si>
    <t>Transportation to site</t>
  </si>
  <si>
    <t>Gate fee to site</t>
  </si>
  <si>
    <t>Transportation from fuel station to site</t>
  </si>
  <si>
    <t>Transportation to fuel station</t>
  </si>
  <si>
    <t>Local government papers for DCEL trucks</t>
  </si>
  <si>
    <t>Liquid soap &amp; Izal</t>
  </si>
  <si>
    <t>VN-01-13-01</t>
  </si>
  <si>
    <t>Business premises (LIRS)</t>
  </si>
  <si>
    <t>Development levy for staff (LIRS)</t>
  </si>
  <si>
    <t>PAYE for december</t>
  </si>
  <si>
    <t>Audit service for 2024 &amp; FIRS filing</t>
  </si>
  <si>
    <t>Vat for december</t>
  </si>
  <si>
    <t>Staff bonus for 2024</t>
  </si>
  <si>
    <t>VN-01-16-01</t>
  </si>
  <si>
    <t>Petrol for L200</t>
  </si>
  <si>
    <t>Diesel for site</t>
  </si>
  <si>
    <t>12,,000.00</t>
  </si>
  <si>
    <t>Milk for visitor</t>
  </si>
  <si>
    <t>Repairs of red light for hiab &amp; road expense</t>
  </si>
  <si>
    <t>Salary advance for site worker (Ayo)</t>
  </si>
  <si>
    <t>VN-01-17-01</t>
  </si>
  <si>
    <t>Petrol for tundra</t>
  </si>
  <si>
    <t>Petrol for benz</t>
  </si>
  <si>
    <t>VN-01-20-01</t>
  </si>
  <si>
    <t>Transportation to site (2 days)</t>
  </si>
  <si>
    <t>Transportation to Adeniji</t>
  </si>
  <si>
    <t>Medicals</t>
  </si>
  <si>
    <t>Dustbin nylon</t>
  </si>
  <si>
    <t>VN-01-20-02</t>
  </si>
  <si>
    <t>Faculty and Dept payment for Sarah &amp;Ope</t>
  </si>
  <si>
    <t>Felix Tama.</t>
  </si>
  <si>
    <t>Purchase of Data</t>
  </si>
  <si>
    <t>Petrol for Tundra</t>
  </si>
  <si>
    <t>Prepaid metre</t>
  </si>
  <si>
    <t>Recruitment fee deposit</t>
  </si>
  <si>
    <t>VN-01-24-01</t>
  </si>
  <si>
    <t>Transportation to VGC</t>
  </si>
  <si>
    <t>Good mama soap</t>
  </si>
  <si>
    <t>Air freshner</t>
  </si>
  <si>
    <t>27/01/2025</t>
  </si>
  <si>
    <t>Key repairs for Benz</t>
  </si>
  <si>
    <t>Generator repairs</t>
  </si>
  <si>
    <t>VN-01-30-01</t>
  </si>
  <si>
    <t>Payment for electrical works</t>
  </si>
  <si>
    <t>Payment for Labour</t>
  </si>
  <si>
    <t>Payment to Eletrician</t>
  </si>
  <si>
    <t>VN-02-01-01</t>
  </si>
  <si>
    <t>Transportation to MC&amp;T</t>
  </si>
  <si>
    <t>Purchase of 4L Engine oil</t>
  </si>
  <si>
    <t>Petrol for Jetting</t>
  </si>
  <si>
    <t>Recharge card for Staff</t>
  </si>
  <si>
    <t>VN-02-04-01</t>
  </si>
  <si>
    <t>Student allowance</t>
  </si>
  <si>
    <t>Cleaning fee for january</t>
  </si>
  <si>
    <t>Security allowance for January</t>
  </si>
  <si>
    <t>IT student Allowance for January</t>
  </si>
  <si>
    <t>VN-02-06-01</t>
  </si>
  <si>
    <t>transportation to site</t>
  </si>
  <si>
    <t>Medicals for site workers (Emeka)</t>
  </si>
  <si>
    <t>Oil Treatment for vechicle</t>
  </si>
  <si>
    <t>VN-02-12-01</t>
  </si>
  <si>
    <t>Transportation to Site</t>
  </si>
  <si>
    <t>Transportation to South Energy X</t>
  </si>
  <si>
    <t>Transportation to Total petrol station</t>
  </si>
  <si>
    <t>Commission for First bank Job(Shuaib)</t>
  </si>
  <si>
    <t>Purchase Of Clips</t>
  </si>
  <si>
    <t>Purchase of Lubricant</t>
  </si>
  <si>
    <t>Petrol for Generator</t>
  </si>
  <si>
    <t>VN-02-14-01</t>
  </si>
  <si>
    <t>Purchase of 20 Bags of Cement</t>
  </si>
  <si>
    <t>Hiab Rental</t>
  </si>
  <si>
    <t>Eko Atalantic</t>
  </si>
  <si>
    <t>Gate Pass to VGC</t>
  </si>
  <si>
    <t>Movement fee to VGC</t>
  </si>
  <si>
    <t>Gear Repairs</t>
  </si>
  <si>
    <t>VN-02-14-02</t>
  </si>
  <si>
    <t>Petrol for Siena</t>
  </si>
  <si>
    <t>Petrol Purchase for jetting</t>
  </si>
  <si>
    <t>Purchase of Diseal</t>
  </si>
  <si>
    <t>VN-02-17-01</t>
  </si>
  <si>
    <t>Purchase of Diseal (600 Liters)</t>
  </si>
  <si>
    <t>Udeme Etuk.</t>
  </si>
  <si>
    <t>Materials for South energy X</t>
  </si>
  <si>
    <t>Transportation of materials to site</t>
  </si>
  <si>
    <t>Payment for excavator at Eko Atlantic</t>
  </si>
  <si>
    <t>Purchase of Jetting Pumps</t>
  </si>
  <si>
    <t>Purchase of Pumping machine</t>
  </si>
  <si>
    <t>Jetting Pump repairs</t>
  </si>
  <si>
    <t>Dewatering Pumps repairs</t>
  </si>
  <si>
    <t>Tire repairs</t>
  </si>
  <si>
    <t>Print work payment</t>
  </si>
  <si>
    <t>Electricity bill</t>
  </si>
  <si>
    <t>VN-02-18-01</t>
  </si>
  <si>
    <t>Petrol for Sinnea</t>
  </si>
  <si>
    <t>Drinking water for site workers</t>
  </si>
  <si>
    <t>Payment for Flange</t>
  </si>
  <si>
    <t>Diseal for Dewatering Pumps</t>
  </si>
  <si>
    <t>Payment of fine L200</t>
  </si>
  <si>
    <t>VN-02-19-01</t>
  </si>
  <si>
    <t>NSITF for 2024</t>
  </si>
  <si>
    <t>PAYE for January</t>
  </si>
  <si>
    <t>Staff Salaries for January</t>
  </si>
  <si>
    <t>VAT for January</t>
  </si>
  <si>
    <t>VN-02-21-01</t>
  </si>
  <si>
    <t>Bank maintenace charge for feburary</t>
  </si>
  <si>
    <t>commission for Agent at Almonsour Site</t>
  </si>
  <si>
    <t>Tolling of HIAB to Warehouse</t>
  </si>
  <si>
    <t>HR recruitment and Consulting fee</t>
  </si>
  <si>
    <t>Service charge for Laptop repairs</t>
  </si>
  <si>
    <t>T/T allowance for Feburary</t>
  </si>
  <si>
    <t>Payment of Road Worthiness Renewal for HIAB</t>
  </si>
  <si>
    <t>VN-02-25-01</t>
  </si>
  <si>
    <t>Transportation to IDDO</t>
  </si>
  <si>
    <t>Transportation to Sweet Sensation</t>
  </si>
  <si>
    <t>Entertainment for HR Personnel</t>
  </si>
  <si>
    <t>VN-03-01-01</t>
  </si>
  <si>
    <t>Purchase of Table board</t>
  </si>
  <si>
    <t>Purchase of Cupboard Handle</t>
  </si>
  <si>
    <t>Repair of Sienna</t>
  </si>
  <si>
    <t>Petrol for Site movement</t>
  </si>
  <si>
    <t>Purchase of Toner, A4 Paper and Pen</t>
  </si>
  <si>
    <t>Call credit for Dcel Staff</t>
  </si>
  <si>
    <t>VN-03-03-01</t>
  </si>
  <si>
    <t>Cleaning Allowance for March 2025</t>
  </si>
  <si>
    <t>Security allowance for March 2025</t>
  </si>
  <si>
    <t>Warehouse Assistant for March 2025</t>
  </si>
  <si>
    <t>Staff salaries for Feburary 2025</t>
  </si>
  <si>
    <t>IT student allowance for Feburary 2025</t>
  </si>
  <si>
    <t>VAT for February 2025</t>
  </si>
  <si>
    <t>VN-03-04-01</t>
  </si>
  <si>
    <t>Payment of CSR</t>
  </si>
  <si>
    <t>Petrol for Sienna</t>
  </si>
  <si>
    <t xml:space="preserve">Purchase of Fan </t>
  </si>
  <si>
    <t>Repairs of GHEO pumps</t>
  </si>
  <si>
    <t>Payment for Sienna Repairs</t>
  </si>
  <si>
    <t>Payment for electricity</t>
  </si>
  <si>
    <t>AC Installation</t>
  </si>
  <si>
    <t>Electrical works</t>
  </si>
  <si>
    <t>VN-03-05-01</t>
  </si>
  <si>
    <t>Purchase of Fan plug</t>
  </si>
  <si>
    <t>Purchase of Air freshners</t>
  </si>
  <si>
    <t>Purchase of Fridge guard</t>
  </si>
  <si>
    <t>Purchase of Trash bags</t>
  </si>
  <si>
    <t>Workmanship for table and cupboard</t>
  </si>
  <si>
    <t>Staff Recruitng and interview session</t>
  </si>
  <si>
    <t>Repair of Jetting pump</t>
  </si>
  <si>
    <t>VN-03-06-01</t>
  </si>
  <si>
    <t>Transportation to Petrol Station and Sabo</t>
  </si>
  <si>
    <t>Purchase of Office Chair</t>
  </si>
  <si>
    <t>Repairs and changing of Office Chair</t>
  </si>
  <si>
    <t>Payment for Window blinds</t>
  </si>
  <si>
    <t>Purchase of Coffee and sugar</t>
  </si>
  <si>
    <t>Television for office</t>
  </si>
  <si>
    <t>Transportation to and from Seme</t>
  </si>
  <si>
    <t>Machine Helper</t>
  </si>
  <si>
    <t>Servicing of Benz</t>
  </si>
  <si>
    <t>Upholstery</t>
  </si>
  <si>
    <t>Purchase of Window blinds</t>
  </si>
  <si>
    <t>Borehole  Construction</t>
  </si>
  <si>
    <t>VN-03-10-01</t>
  </si>
  <si>
    <t>Student Cost</t>
  </si>
  <si>
    <t>Student Rent</t>
  </si>
  <si>
    <t>Payment for roofing in Yaba</t>
  </si>
  <si>
    <t>Transportation to Sabo</t>
  </si>
  <si>
    <t>Repairs of Dewatering Pump</t>
  </si>
  <si>
    <t>Payment for Sienna Exhaust repairs</t>
  </si>
  <si>
    <t>Payment of drinking water from Dec till date</t>
  </si>
  <si>
    <t>Purchase of Diesel</t>
  </si>
  <si>
    <t>Payment for Petrol</t>
  </si>
  <si>
    <t>VN-03-11-01</t>
  </si>
  <si>
    <t>Loan Repayment</t>
  </si>
  <si>
    <t>Balance payment for Dewatering Accessories</t>
  </si>
  <si>
    <t>Payment for Lease and Dewatering pump</t>
  </si>
  <si>
    <t>Condolences to Oluwaseun</t>
  </si>
  <si>
    <t>VN-03-13-01</t>
  </si>
  <si>
    <t>Purchase of Hypo</t>
  </si>
  <si>
    <t>Payment of repairs of L200</t>
  </si>
  <si>
    <t>Payment for petrol and materials for mechanic</t>
  </si>
  <si>
    <t>Engine oil for Generator</t>
  </si>
  <si>
    <t>Payment of L200 repairs</t>
  </si>
  <si>
    <t>Repairs and Purchase of lights for L200</t>
  </si>
  <si>
    <t>Payment for parking</t>
  </si>
  <si>
    <t>Purchase of Petrol</t>
  </si>
  <si>
    <t>VN-03-14-02</t>
  </si>
  <si>
    <t>Oved Consultancy fee</t>
  </si>
  <si>
    <t>VN-03-17-01</t>
  </si>
  <si>
    <t>Payment for roofing</t>
  </si>
  <si>
    <t>VN-03-18-01</t>
  </si>
  <si>
    <t>Insurance Bond Trade fair</t>
  </si>
  <si>
    <t>Insurance Bond First Bank</t>
  </si>
  <si>
    <t>Transportation to Mcarthy</t>
  </si>
  <si>
    <t xml:space="preserve">Transportation to Petrol Station </t>
  </si>
  <si>
    <t>VN-03-24-01</t>
  </si>
  <si>
    <t>H.M.O LASHMA</t>
  </si>
  <si>
    <t>PAYE for February 2025</t>
  </si>
  <si>
    <t>VN-03-25-01</t>
  </si>
  <si>
    <t>GEHO part fabrication</t>
  </si>
  <si>
    <t>Painting of L200</t>
  </si>
  <si>
    <t>Upholstery for L200</t>
  </si>
  <si>
    <t>Repair of L200</t>
  </si>
  <si>
    <t>Vehicle License</t>
  </si>
  <si>
    <t>Pest control for office</t>
  </si>
  <si>
    <t>Borehole  Consturction</t>
  </si>
  <si>
    <t>Plumbing work</t>
  </si>
  <si>
    <t>Roof repairs</t>
  </si>
  <si>
    <t>VN-03-26-01</t>
  </si>
  <si>
    <t>Purchase of Hose</t>
  </si>
  <si>
    <t>VN-03-27-01</t>
  </si>
  <si>
    <t>Transportation from site(Southenergy X)</t>
  </si>
  <si>
    <t>Purchase of Master's Clutch</t>
  </si>
  <si>
    <t>Fixing of tires</t>
  </si>
  <si>
    <t>Purchase of tissue paper and sugar</t>
  </si>
  <si>
    <t>Diesel for MC&amp;T</t>
  </si>
  <si>
    <t>Driver's Logbook</t>
  </si>
  <si>
    <t>VN-03-28-01</t>
  </si>
  <si>
    <t>Student allowance for March 2025</t>
  </si>
  <si>
    <t>Repair of Nozzle</t>
  </si>
  <si>
    <t>Payment for Motor vehicle License</t>
  </si>
  <si>
    <t>Cleaning fee for March</t>
  </si>
  <si>
    <t>VN-03-28-02</t>
  </si>
  <si>
    <t>Petrol and Oil for Tundra</t>
  </si>
  <si>
    <t>Security salary for March 2025</t>
  </si>
  <si>
    <t>Warehouse assistant salary for March 2025</t>
  </si>
  <si>
    <t>Staff salaries for March 2025</t>
  </si>
  <si>
    <t>Driver's salary for March 2025</t>
  </si>
  <si>
    <t>IT student allowance for March 2025</t>
  </si>
  <si>
    <t>VN-03-29-01</t>
  </si>
  <si>
    <t>Overtime for Driver</t>
  </si>
  <si>
    <t>Community nuisance(First Bank)</t>
  </si>
  <si>
    <t>Copper wire(One roll) 4mm</t>
  </si>
  <si>
    <t>GHEO pump repairs</t>
  </si>
  <si>
    <t>Electrical works in the office</t>
  </si>
  <si>
    <t>Electrical switch and wires</t>
  </si>
  <si>
    <t>Payment for Electrician</t>
  </si>
  <si>
    <t>Electrician payment</t>
  </si>
  <si>
    <t>VN-04-01-01</t>
  </si>
  <si>
    <t>Lunch for HR</t>
  </si>
  <si>
    <t>Diesel Engine Oil</t>
  </si>
  <si>
    <t>Servicing of Generator</t>
  </si>
  <si>
    <t>VN-04-03-01</t>
  </si>
  <si>
    <t>GHEO repairs</t>
  </si>
  <si>
    <t>Medicals for Emeka</t>
  </si>
  <si>
    <t>L200 repairs</t>
  </si>
  <si>
    <t>Plumbing works and materials</t>
  </si>
  <si>
    <t>Purchase of toiletwash/Izal/Liquid soap</t>
  </si>
  <si>
    <t>VN-04-03-02</t>
  </si>
  <si>
    <t>Electrical workmanship</t>
  </si>
  <si>
    <t>Coupling repairs (welding)</t>
  </si>
  <si>
    <t>Balance of roofing replacement</t>
  </si>
  <si>
    <t>Float Switch</t>
  </si>
  <si>
    <t>VN-04-04-01</t>
  </si>
  <si>
    <t>Carpentery work</t>
  </si>
  <si>
    <t>Electrical distribution box</t>
  </si>
  <si>
    <t>Electrical part</t>
  </si>
  <si>
    <t>Borehole construction</t>
  </si>
  <si>
    <t>Payment of Plumber</t>
  </si>
  <si>
    <t>VN-04-05-01</t>
  </si>
  <si>
    <t>Purchase of GHEO parts</t>
  </si>
  <si>
    <t>VN-04-08-01</t>
  </si>
  <si>
    <t>Purchase of PROGROT</t>
  </si>
  <si>
    <t>Purchase of Wet shield</t>
  </si>
  <si>
    <t>Transportation of Chemical</t>
  </si>
  <si>
    <t>Transportation of Sochem materials</t>
  </si>
  <si>
    <t>Delivery of Jack &amp; Spanner</t>
  </si>
  <si>
    <t>Purchase of Sochem water plug</t>
  </si>
  <si>
    <t>Perrot Coupling</t>
  </si>
  <si>
    <t>Balance payment of repair of L200</t>
  </si>
  <si>
    <t>VN-04-08-02</t>
  </si>
  <si>
    <t>Repair of Vehicle</t>
  </si>
  <si>
    <t>Speed limiter &amp; tracker for vehicle</t>
  </si>
  <si>
    <t>Plumbing repairs for Office</t>
  </si>
  <si>
    <t>Purchase of Broom</t>
  </si>
  <si>
    <t>T-shirt for staff</t>
  </si>
  <si>
    <t xml:space="preserve">Plumbing repairs </t>
  </si>
  <si>
    <t>Salary advance for Driver</t>
  </si>
  <si>
    <t>VN-04-11-01</t>
  </si>
  <si>
    <t>Transportation of Amorsil chemical</t>
  </si>
  <si>
    <t>1 Stainless wheel spanner</t>
  </si>
  <si>
    <t>2 Silver wheel spanner</t>
  </si>
  <si>
    <t>3 Ton Jack heavy duty</t>
  </si>
  <si>
    <t>Purchase of Tools</t>
  </si>
  <si>
    <t>Cupboard Lock</t>
  </si>
  <si>
    <t>Payment for PPEs</t>
  </si>
  <si>
    <t>Payment of Area boys</t>
  </si>
  <si>
    <t>Payment of 2 Jack &amp; 3 chisel</t>
  </si>
  <si>
    <t>VN-04-12-01</t>
  </si>
  <si>
    <t>Overtime for driver</t>
  </si>
  <si>
    <t>Internet MTN</t>
  </si>
  <si>
    <t>Sienna repairs</t>
  </si>
  <si>
    <t>Electrician labour</t>
  </si>
  <si>
    <t>Delivery of electrical parts</t>
  </si>
  <si>
    <t>Balance payment for roofing</t>
  </si>
  <si>
    <t>Parts for Hatz engine</t>
  </si>
  <si>
    <t>VN-04-13-01</t>
  </si>
  <si>
    <t>Student allowance For April 2025</t>
  </si>
  <si>
    <t>Rewiring repairs for L200</t>
  </si>
  <si>
    <t>Repairs for L200</t>
  </si>
  <si>
    <t>Printing of PPEs</t>
  </si>
  <si>
    <t>Security allowance for April 2025</t>
  </si>
  <si>
    <t>Engine oil for Sienna</t>
  </si>
  <si>
    <t>VN-04-14-01</t>
  </si>
  <si>
    <t>Driver's salary for April 2025</t>
  </si>
  <si>
    <t>VN-04-15-01</t>
  </si>
  <si>
    <t>Waterproofing workmanship</t>
  </si>
  <si>
    <t>25 litres of Hydraulic oil</t>
  </si>
  <si>
    <t>25 litres of Rubo oil</t>
  </si>
  <si>
    <t>5 litres of Mobil oil</t>
  </si>
  <si>
    <t>Payment for delivery of Engine oil</t>
  </si>
  <si>
    <t>Purchase of hand brush</t>
  </si>
  <si>
    <t>VN-04-16-01</t>
  </si>
  <si>
    <t>Transportation to &amp; fro site</t>
  </si>
  <si>
    <t>Loan Repayment HOD</t>
  </si>
  <si>
    <t>Transportation to mechanic</t>
  </si>
  <si>
    <t>Transportation to &amp; fro Sabo</t>
  </si>
  <si>
    <t>GEHO machine rental</t>
  </si>
  <si>
    <t>Tee Couplings</t>
  </si>
  <si>
    <t>Purchase of gear oil</t>
  </si>
  <si>
    <t>VN-04-16-02</t>
  </si>
  <si>
    <t>Repair of Benz</t>
  </si>
  <si>
    <t>Repairs of Tundra</t>
  </si>
  <si>
    <t>NSITF for 2025(Jan - March)</t>
  </si>
  <si>
    <t>Purchase of First Aid kit supplies</t>
  </si>
  <si>
    <t xml:space="preserve"> Petrol for Generator &amp; transportation</t>
  </si>
  <si>
    <t>PAYE for March  2025</t>
  </si>
  <si>
    <t>T/T allowance for April 2025</t>
  </si>
  <si>
    <t>Study allowance</t>
  </si>
  <si>
    <t>VN-04-17-01</t>
  </si>
  <si>
    <t>Part payment for First Bank job</t>
  </si>
  <si>
    <t>Hatz Engine</t>
  </si>
  <si>
    <t>VN-04-19-01</t>
  </si>
  <si>
    <t>Payment for Internet</t>
  </si>
  <si>
    <t>Site worker entertainment</t>
  </si>
  <si>
    <t>Payment for charging battery</t>
  </si>
  <si>
    <t>Petrol for BenZ</t>
  </si>
  <si>
    <t>VN-04-21-01</t>
  </si>
  <si>
    <t>Driver's overtime</t>
  </si>
  <si>
    <t>Waterproofing &amp; Tiling work</t>
  </si>
  <si>
    <t>VN-04-23-01</t>
  </si>
  <si>
    <t>Glue gum &amp; petrol for GEHO PUMP</t>
  </si>
  <si>
    <t>Clips for site (Eko Atlantic)</t>
  </si>
  <si>
    <t>Nozzles for GEHO pump</t>
  </si>
  <si>
    <t>VN-04-24-01</t>
  </si>
  <si>
    <t>Purchase of Flat hose for New station 12</t>
  </si>
  <si>
    <t>Payment for Jetting stem</t>
  </si>
  <si>
    <t>Purchase of Clips for New station 12</t>
  </si>
  <si>
    <t>Purchase of Rubber sheet</t>
  </si>
  <si>
    <t>Purchase of Rubber tie</t>
  </si>
  <si>
    <t>VN-04-24-02</t>
  </si>
  <si>
    <t>Lunch for Director</t>
  </si>
  <si>
    <t>Lunch for HR &amp; Transportation</t>
  </si>
  <si>
    <t>DCEL Tshirts</t>
  </si>
  <si>
    <t>Printing on DCEL uniform</t>
  </si>
  <si>
    <t>Payment of carpenter</t>
  </si>
  <si>
    <t>Plumbing Repairs</t>
  </si>
  <si>
    <t>Payment for Hose</t>
  </si>
  <si>
    <t>Payment for T-connector</t>
  </si>
  <si>
    <t>VN-04-28-01</t>
  </si>
  <si>
    <t>Spareparts for Dewatering pump</t>
  </si>
  <si>
    <t>One roll of Black nylon</t>
  </si>
  <si>
    <t>Premises charge for Dcel staff apartment</t>
  </si>
  <si>
    <t>Payment for water seal &amp;discharge flange</t>
  </si>
  <si>
    <t>Payment of Hose clips,flat hose &amp; suction hose</t>
  </si>
  <si>
    <t>VN-04-29-01</t>
  </si>
  <si>
    <t>Purchase of Saw blade</t>
  </si>
  <si>
    <t>Transportation to&amp; fro Sabo</t>
  </si>
  <si>
    <t>Purchase of Toileteries,Hypo,Air freshner/M.net</t>
  </si>
  <si>
    <t>VN-04-30-01</t>
  </si>
  <si>
    <t>Cleaning salary for April 2025</t>
  </si>
  <si>
    <t>Staff salaries for April 2025</t>
  </si>
  <si>
    <t>VN-05-02-01</t>
  </si>
  <si>
    <t>Labour for Tradefair</t>
  </si>
  <si>
    <t>Purchase of sand for Tradefair</t>
  </si>
  <si>
    <t>Tradefair workmanship</t>
  </si>
  <si>
    <t>Payment for Toll gate</t>
  </si>
  <si>
    <t>Payment of Excavator Driver</t>
  </si>
  <si>
    <t>Labourers Payment for First Bank</t>
  </si>
  <si>
    <t>Balance payment for Inverter</t>
  </si>
  <si>
    <t>VN-05-02-02</t>
  </si>
  <si>
    <t>Payment for Cupboard for HOD office</t>
  </si>
  <si>
    <t>Delivery of engine</t>
  </si>
  <si>
    <t>Delivery  of Handbrush</t>
  </si>
  <si>
    <t>Purchase of Sienna engine</t>
  </si>
  <si>
    <t>Repairs of Sienna</t>
  </si>
  <si>
    <t>Transportation of GEHO Pump</t>
  </si>
  <si>
    <t>Warehouse assistant allowance for April 2025</t>
  </si>
  <si>
    <t>VN-05-03-01</t>
  </si>
  <si>
    <t>Discharging of pumps</t>
  </si>
  <si>
    <t>Purchase of sand,adolites,resin&amp; garbon</t>
  </si>
  <si>
    <t>PR for Site(Eko Atlantic)</t>
  </si>
  <si>
    <t>Transportation to &amp; fro First bank</t>
  </si>
  <si>
    <t>Payment for internet</t>
  </si>
  <si>
    <t>Delivery of materials</t>
  </si>
  <si>
    <t>VN-05-03-02</t>
  </si>
  <si>
    <t>Delivery of Items</t>
  </si>
  <si>
    <t>Main bearing for dewatering</t>
  </si>
  <si>
    <t>Purchase of 2 phones for site workers</t>
  </si>
  <si>
    <t>Electrical work</t>
  </si>
  <si>
    <t>Electrical bill</t>
  </si>
  <si>
    <t>Security in Eko Atlantic</t>
  </si>
  <si>
    <t>Purchase of pipe,elbow,adaptor&amp; rope</t>
  </si>
  <si>
    <t>3hp single phase</t>
  </si>
  <si>
    <t>VN-05-06-01</t>
  </si>
  <si>
    <t>Waterproofing works</t>
  </si>
  <si>
    <t>Electrician Labour 2dys SouthenergyX</t>
  </si>
  <si>
    <t>Plumbing repairs 2dys SouthenergyX</t>
  </si>
  <si>
    <t>Purchase of Inverter( Rokum Energy)</t>
  </si>
  <si>
    <t>Purchase of 10Hp Submersible Pump</t>
  </si>
  <si>
    <t>Purchase of broom,parker,hard brush&amp; towel</t>
  </si>
  <si>
    <t>VN-05-06-02</t>
  </si>
  <si>
    <t>PAYE for April 2025</t>
  </si>
  <si>
    <t>Dcel staff telephone &amp; Data for May 2025</t>
  </si>
  <si>
    <t>VAT for April 2025</t>
  </si>
  <si>
    <t>VN-05-08-01</t>
  </si>
  <si>
    <t>Payment for Gate pass</t>
  </si>
  <si>
    <t>Purchase of Sawblade</t>
  </si>
  <si>
    <t>Handbrush for waterproofing</t>
  </si>
  <si>
    <t>Transportation to &amp; fro Orile</t>
  </si>
  <si>
    <t>Repair of Sienna(panel beater&amp;labour,3 nozzles,horn7rear light &amp; battery terminal)</t>
  </si>
  <si>
    <t>VN-05-09-01</t>
  </si>
  <si>
    <t>Commission for First bank Job</t>
  </si>
  <si>
    <t>Cement for First Bank job</t>
  </si>
  <si>
    <t>Fine for L200</t>
  </si>
  <si>
    <t>Delivery of materials scraper</t>
  </si>
  <si>
    <t>Monthly lunch for Dcel staffs</t>
  </si>
  <si>
    <t>Tow truck</t>
  </si>
  <si>
    <t>Petrol for Sienna (southenergyX)</t>
  </si>
  <si>
    <t>Electrician for Office</t>
  </si>
  <si>
    <t>Electrical labour(SouthenergyX)</t>
  </si>
  <si>
    <t>Plumbing repairs</t>
  </si>
  <si>
    <t>Scraper for waterproofing</t>
  </si>
  <si>
    <t>VN-05-12-01</t>
  </si>
  <si>
    <t>Recharge card for Site worker</t>
  </si>
  <si>
    <t>Transportation for Mechanic</t>
  </si>
  <si>
    <t>Transportation to Island</t>
  </si>
  <si>
    <t>Purchase of drinks for Dcel Staffs</t>
  </si>
  <si>
    <t>Parts for L200 vehicle</t>
  </si>
  <si>
    <t>Plumbing work(SouthenergyX)</t>
  </si>
  <si>
    <t>Purchase of Mesh net</t>
  </si>
  <si>
    <t>Purchase of Hatz ID81Z Parts</t>
  </si>
  <si>
    <t>Purchase of ID81Z Parts/Shield</t>
  </si>
  <si>
    <t>Purchase of ID81Z Pump</t>
  </si>
  <si>
    <t>Commission for First Bank Job</t>
  </si>
  <si>
    <t>Loan Reapayment(HOD)</t>
  </si>
  <si>
    <t>VN-05-13-01</t>
  </si>
  <si>
    <t>Electrician payment(Southenergy X)</t>
  </si>
  <si>
    <t>Electrical works (Southenergy X)</t>
  </si>
  <si>
    <t>Transportation for Site Engineer</t>
  </si>
  <si>
    <t>Purchase of Ladder</t>
  </si>
  <si>
    <t>Parts &amp; Repairs of Hatz Engine</t>
  </si>
  <si>
    <t>Purchase of Tyre for Sienna</t>
  </si>
  <si>
    <t>Repair of Tundra</t>
  </si>
  <si>
    <t>VN-05-13-02</t>
  </si>
  <si>
    <t>Mechanic payment for vehicle repairs</t>
  </si>
  <si>
    <t>Purchase of rear light for L200</t>
  </si>
  <si>
    <t>Purchase of coffee,sugar,milk &amp; trash bag</t>
  </si>
  <si>
    <t>Purchase of liquid soap for office</t>
  </si>
  <si>
    <t>Plumbing works (Southenergy X)</t>
  </si>
  <si>
    <t>Plumbing parts</t>
  </si>
  <si>
    <t>Electrical Parts</t>
  </si>
  <si>
    <t>Delivery of Diesel engine oil</t>
  </si>
  <si>
    <t>Purchase of engine oil</t>
  </si>
  <si>
    <t>Electrical parts for office</t>
  </si>
  <si>
    <t xml:space="preserve">Electrical parts </t>
  </si>
  <si>
    <t>Staff salaries for April(Tunde)</t>
  </si>
  <si>
    <t>Warehouse assistant allowance for May</t>
  </si>
  <si>
    <t>Staff Salaries for May 2025</t>
  </si>
  <si>
    <t>Tools for office</t>
  </si>
  <si>
    <t>VN-05-14-01</t>
  </si>
  <si>
    <t>Overtime for Driver(Andrew &amp; Toheeb)</t>
  </si>
  <si>
    <t>Fabrication of pole light (Southenergyx)</t>
  </si>
  <si>
    <t>Replacement of Nozzle &amp; Piston for pump</t>
  </si>
  <si>
    <t>75AH battery &amp; 10 ton Jack</t>
  </si>
  <si>
    <t>Bottle water for office</t>
  </si>
  <si>
    <t>Petrol for sienna</t>
  </si>
  <si>
    <t>Payment for bricklayer</t>
  </si>
  <si>
    <t>Welder workmanship</t>
  </si>
  <si>
    <t>Workmanship of carpenter</t>
  </si>
  <si>
    <t>Repair of Sienna &amp; Tundra</t>
  </si>
  <si>
    <t>Delivery of Materials</t>
  </si>
  <si>
    <t>VN-05-15-01</t>
  </si>
  <si>
    <t>Transportation to site (South energyX)</t>
  </si>
  <si>
    <t>Catalyst for Tundra</t>
  </si>
  <si>
    <t>Purchase of drinking water for office</t>
  </si>
  <si>
    <t>Bricklayer workmanship for warehouse</t>
  </si>
  <si>
    <t>T/T allowance for May 2025</t>
  </si>
  <si>
    <t>VN-05-17-01</t>
  </si>
  <si>
    <t>Towing truck</t>
  </si>
  <si>
    <t>Labour &amp; Transport for repair of Geho Pump</t>
  </si>
  <si>
    <t>Geho parts</t>
  </si>
  <si>
    <t>Transmission fluid</t>
  </si>
  <si>
    <t>Labour for store works</t>
  </si>
  <si>
    <t>Plumbing payment</t>
  </si>
  <si>
    <t>2 jack hammer</t>
  </si>
  <si>
    <t>VN-05-19-01</t>
  </si>
  <si>
    <t>Purchase of Diesel engine oil</t>
  </si>
  <si>
    <t>Purchase of Hydraulic oil</t>
  </si>
  <si>
    <t>Rent for Dcel staff apartment</t>
  </si>
  <si>
    <t>Purchase of A4 paper &amp; black pens</t>
  </si>
  <si>
    <t>VN-05-20-01</t>
  </si>
  <si>
    <t>3 chisels for tradefair</t>
  </si>
  <si>
    <t>5 tons of sharp sand (Ijebu ode)</t>
  </si>
  <si>
    <t>7 bags of cement (Ijebu ode)</t>
  </si>
  <si>
    <t>8 bags of cement</t>
  </si>
  <si>
    <t>Transportation of cement</t>
  </si>
  <si>
    <t>Transportation to site Tradefair</t>
  </si>
  <si>
    <t>2 brushes for tradefair</t>
  </si>
  <si>
    <t>VN-05-22-01</t>
  </si>
  <si>
    <t>7 bags of cement (Tradefair)</t>
  </si>
  <si>
    <t>Delivery of Submersible pump</t>
  </si>
  <si>
    <t>Purchase of large paper tapes</t>
  </si>
  <si>
    <t>Purchase of tape &amp; plunger</t>
  </si>
  <si>
    <t>Purchase of shovel</t>
  </si>
  <si>
    <t>VN-05-26-01</t>
  </si>
  <si>
    <t>Site expenses (First Bank)</t>
  </si>
  <si>
    <t>Balance payment for Sienna repairs</t>
  </si>
  <si>
    <t>Purchase of solar light</t>
  </si>
  <si>
    <t>Plumber workmanship</t>
  </si>
  <si>
    <t>Balance payment for pole stand</t>
  </si>
  <si>
    <t>Purchase of battery for Hiab</t>
  </si>
  <si>
    <t>Purchase of ball valve,magic waste</t>
  </si>
  <si>
    <t>VN-05-27-01</t>
  </si>
  <si>
    <t>Student allowance for May 2025</t>
  </si>
  <si>
    <t>Food for site workers</t>
  </si>
  <si>
    <t>Sienna rim &amp; tile fixing</t>
  </si>
  <si>
    <t>Purchase of soap for toilet</t>
  </si>
  <si>
    <t>Security allowance for May 2025</t>
  </si>
  <si>
    <t>VN-05-28-01</t>
  </si>
  <si>
    <t>Nut &amp; Bolt for electrical works</t>
  </si>
  <si>
    <t>Fine for Vehicle(Lasma)</t>
  </si>
  <si>
    <t>Fine for Vehicle(VIO)</t>
  </si>
  <si>
    <t>VN-05-29-01</t>
  </si>
  <si>
    <t>Bank maintenance charge for May 2025</t>
  </si>
  <si>
    <t>Electricical Workmanship</t>
  </si>
  <si>
    <t>PVC gum for site</t>
  </si>
  <si>
    <t>Ccommunity fee for First bank</t>
  </si>
  <si>
    <t>Vehicle paper</t>
  </si>
  <si>
    <t>Repair &amp; servicing of L200</t>
  </si>
  <si>
    <t>Fixing of leather chairs &amp; repair of door</t>
  </si>
  <si>
    <t>VN-05-30-01</t>
  </si>
  <si>
    <t>Overtime for April (Tunde)</t>
  </si>
  <si>
    <t>Overtime for Site workers May 2025</t>
  </si>
  <si>
    <t>Overtime for drivers (3)</t>
  </si>
  <si>
    <t>Driver's fee for May 2025 (3)</t>
  </si>
  <si>
    <t>Overtime for Staff May 2025</t>
  </si>
  <si>
    <t>Cleaning allowance for May 2025</t>
  </si>
  <si>
    <t>HR recruitment and Consulting fee for May</t>
  </si>
  <si>
    <t>IT Student allowance for May 2025</t>
  </si>
  <si>
    <t>VN-06-01-01</t>
  </si>
  <si>
    <t>Petrol for Benz</t>
  </si>
  <si>
    <t>Eletricity Bill</t>
  </si>
  <si>
    <t>Payment for painting</t>
  </si>
  <si>
    <t>VN-06-02-01</t>
  </si>
  <si>
    <t>Payment for Gate pass(Ijebu)</t>
  </si>
  <si>
    <t>Petrol for vehicle(SouthenergyX)</t>
  </si>
  <si>
    <t>Transportation to bank</t>
  </si>
  <si>
    <t>Fixing of Fuel pipe</t>
  </si>
  <si>
    <t>Mechanic repairs</t>
  </si>
  <si>
    <t>VN-06-02-02</t>
  </si>
  <si>
    <t>Padlock for ladder</t>
  </si>
  <si>
    <t>VN-06-03-01</t>
  </si>
  <si>
    <t>Logistics/Area boys</t>
  </si>
  <si>
    <t>Purchase of Fan for Sienna</t>
  </si>
  <si>
    <t>Delivery of Camera</t>
  </si>
  <si>
    <t>Transportation  to &amp; fro Oniru</t>
  </si>
  <si>
    <t>Petrol for vehicle</t>
  </si>
  <si>
    <t>Fixing of Fan</t>
  </si>
  <si>
    <t>VN-06-05-01</t>
  </si>
  <si>
    <t>2 bags of cement(Tradefair)</t>
  </si>
  <si>
    <t>Electrician labour(SouthenergyX)</t>
  </si>
  <si>
    <t>Transportation For Electrician</t>
  </si>
  <si>
    <t>Staff Monthly Lunch For June</t>
  </si>
  <si>
    <t>Purchase of drinking water &amp; Transportation</t>
  </si>
  <si>
    <t>Electricity Unit for Office</t>
  </si>
  <si>
    <t>Repairs of camera</t>
  </si>
  <si>
    <t>1 Pht of Toner</t>
  </si>
  <si>
    <t>Purchase of Paint brush</t>
  </si>
  <si>
    <t>VN-06-10-01</t>
  </si>
  <si>
    <t>Purchase of Paving Stone</t>
  </si>
  <si>
    <t>Transportation to &amp; fro Bariga</t>
  </si>
  <si>
    <t>Repair of L200 &amp; Sienna(fan &amp; radiator)</t>
  </si>
  <si>
    <t>CAC filing for 2023/2024</t>
  </si>
  <si>
    <t>VN-06-16-01</t>
  </si>
  <si>
    <t>Petrol for vehicle(Sienna)</t>
  </si>
  <si>
    <t>Electrician Repairs &amp; Transportation</t>
  </si>
  <si>
    <t>Transportation to site (SouthenergyX)</t>
  </si>
  <si>
    <t>Staff Entertainment</t>
  </si>
  <si>
    <t>Purchase of tissue paper, handwash &amp; water</t>
  </si>
  <si>
    <t>Staff T/T allowance for June 2025</t>
  </si>
  <si>
    <t>VN-06-16-02</t>
  </si>
  <si>
    <t>Purchase of Angle Grinder</t>
  </si>
  <si>
    <t>Purchase of 4ltrs toilet soap</t>
  </si>
  <si>
    <t>Overtime for Driver(Toheeb) 2dys</t>
  </si>
  <si>
    <t>Overtime for Driver(Ikechukwu) 2dys</t>
  </si>
  <si>
    <t>Excavator's fee</t>
  </si>
  <si>
    <t>VN-06-17-01</t>
  </si>
  <si>
    <t>Shipping &amp; clearing of dewatering parts</t>
  </si>
  <si>
    <t>PAYE for May 2025</t>
  </si>
  <si>
    <t>VAT for May 2025</t>
  </si>
  <si>
    <t>VN-06-20-01</t>
  </si>
  <si>
    <t>Transportation to site(SouthenergyX)</t>
  </si>
  <si>
    <t>Dcel Staff drinks for June</t>
  </si>
  <si>
    <t>Fixing of Sienna light</t>
  </si>
  <si>
    <t>Repairs of HIAB</t>
  </si>
  <si>
    <t>Purchase of Trash bags for Office</t>
  </si>
  <si>
    <t>Printing of Dcel Staff ID card</t>
  </si>
  <si>
    <t>VN-06-21-01</t>
  </si>
  <si>
    <t>Purchase of Petrol &amp; Glue gum</t>
  </si>
  <si>
    <t>Electrical works (SouthenergyX)</t>
  </si>
  <si>
    <t>Part payment for Geho pump repairs</t>
  </si>
  <si>
    <t>Gateman at Eko Atlantic</t>
  </si>
  <si>
    <t>Petrol for servicing of Geho pump</t>
  </si>
  <si>
    <t>Purchase of Black oil</t>
  </si>
  <si>
    <t>VN-06-26-01</t>
  </si>
  <si>
    <t>VN-06-30-01</t>
  </si>
  <si>
    <t>Payment  for painting</t>
  </si>
  <si>
    <t>Dcel staff recharge card for June</t>
  </si>
  <si>
    <t>VN-07-01-01</t>
  </si>
  <si>
    <t>Project &amp; handout for Esther</t>
  </si>
  <si>
    <t>Student allowance for June</t>
  </si>
  <si>
    <t>Security allowance for June 2025</t>
  </si>
  <si>
    <t>Purchase of Soap, hypo &amp; Air freshner</t>
  </si>
  <si>
    <t>Transportation to sabo</t>
  </si>
  <si>
    <t>VN-07-01-02</t>
  </si>
  <si>
    <t>Overtime for Staff for June(Tradefair)</t>
  </si>
  <si>
    <t>Overtime for Site workers June (SouthenergyX)</t>
  </si>
  <si>
    <t>Overtime for Warehouse Assistant</t>
  </si>
  <si>
    <t>Salaries for Site workers June</t>
  </si>
  <si>
    <t>Warehouse Assistant allowance for June</t>
  </si>
  <si>
    <t>Salaries for Staff(Admin/Acct) June</t>
  </si>
  <si>
    <t>IT student allowance for June</t>
  </si>
  <si>
    <t>PAYE for June 2025</t>
  </si>
  <si>
    <t>Cleaning allowance for June 2025</t>
  </si>
  <si>
    <t xml:space="preserve">2 Roll of 6" flat hose </t>
  </si>
  <si>
    <t>Purchase of 10hp sewage pump</t>
  </si>
  <si>
    <t>Hatz engine parts for Geho pump</t>
  </si>
  <si>
    <t>White Seal for Dewatering pump</t>
  </si>
  <si>
    <t>Excavator fee (SouthenergyX)</t>
  </si>
  <si>
    <t>VN-07-02-01</t>
  </si>
  <si>
    <t>Purchase of Electrical wires</t>
  </si>
  <si>
    <t>Electrician Labour</t>
  </si>
  <si>
    <t>Repair of Tyre</t>
  </si>
  <si>
    <t xml:space="preserve">First Bank Abibu oki(Labour &amp; Materials) </t>
  </si>
  <si>
    <t>VN-07-04-01</t>
  </si>
  <si>
    <t>Purchase of Snacks &amp; drinks for office</t>
  </si>
  <si>
    <t>VN-07-07-01</t>
  </si>
  <si>
    <t>Airtime for HOD</t>
  </si>
  <si>
    <t>Purchase of Side mirror(Tundra)</t>
  </si>
  <si>
    <t>Filters for Geho pump</t>
  </si>
  <si>
    <t>Area boys (Abibu oki)</t>
  </si>
  <si>
    <t>Food for First Bank staff</t>
  </si>
  <si>
    <t>VN-07-09-01</t>
  </si>
  <si>
    <t>Eko Atlantic staff</t>
  </si>
  <si>
    <t>Workers in First Bank (Abibu oki)</t>
  </si>
  <si>
    <t>Engine oil for Benz</t>
  </si>
  <si>
    <t>Cement and Sand (First Bank)</t>
  </si>
  <si>
    <t>VN-07-11-01</t>
  </si>
  <si>
    <t>Purchase of Nozzle ,Piston &amp;Pump</t>
  </si>
  <si>
    <t>Dcel staff drink for July</t>
  </si>
  <si>
    <t>Dcel staff monthly lunch for July</t>
  </si>
  <si>
    <t>Payment for 2 Shovel (Abibu oki)</t>
  </si>
  <si>
    <t>Repair of Dewatering Pump</t>
  </si>
  <si>
    <t>Balance payment for repair of Jetting pump</t>
  </si>
  <si>
    <t>VN-07-15-01</t>
  </si>
  <si>
    <t>Purchase of Bolts</t>
  </si>
  <si>
    <t>Petrol for L200(First Bank)</t>
  </si>
  <si>
    <t>Diesel engine oil &amp; Hydraulic oil</t>
  </si>
  <si>
    <t>VN-07-16-01</t>
  </si>
  <si>
    <t>Staff T/T allowance for July 2025</t>
  </si>
  <si>
    <t>Welder works(Transport &amp; materials)</t>
  </si>
  <si>
    <t>Balance payment for repair of kama Pump</t>
  </si>
  <si>
    <t>Petrol for Jetting (Levitikal)</t>
  </si>
  <si>
    <t>Balance payment for repair of Sienna</t>
  </si>
  <si>
    <t>Purchase of cutting blades(First Bank)</t>
  </si>
  <si>
    <t>Petrol for Jetting pump</t>
  </si>
  <si>
    <t>Internet for Office</t>
  </si>
  <si>
    <t>Purchase of Injector Pump</t>
  </si>
  <si>
    <t>VN-07-19-01</t>
  </si>
  <si>
    <t>Petrol for Painting</t>
  </si>
  <si>
    <t>Repair of Microwave</t>
  </si>
  <si>
    <t>VN-07-20-01</t>
  </si>
  <si>
    <t>Purchase/filling of battery terminal head</t>
  </si>
  <si>
    <t>Fixing of Battery terminal</t>
  </si>
  <si>
    <t>Purchase of cement bags</t>
  </si>
  <si>
    <t>Painting of Warehouse</t>
  </si>
  <si>
    <t>VN-07-16-02</t>
  </si>
  <si>
    <t>VN-01-06-02</t>
  </si>
  <si>
    <t>VN-01-10-03</t>
  </si>
  <si>
    <t>VN-01-16-02</t>
  </si>
  <si>
    <t>VN-01-20-03</t>
  </si>
  <si>
    <t>VN-01-24-02</t>
  </si>
  <si>
    <t>Warehouse assistant salary  for January 2025</t>
  </si>
  <si>
    <t>VN-02-12-02</t>
  </si>
  <si>
    <t>VN-02-12-03</t>
  </si>
  <si>
    <t>VN-02-17-02</t>
  </si>
  <si>
    <t>VN-02-21-02</t>
  </si>
  <si>
    <t>VN-03-10-02</t>
  </si>
  <si>
    <t>VN-03-11-02</t>
  </si>
  <si>
    <t>VN-03-25-02</t>
  </si>
  <si>
    <t>VN-03-28-03</t>
  </si>
  <si>
    <t>VN-04-03-03</t>
  </si>
  <si>
    <t>VN-04-08-03</t>
  </si>
  <si>
    <t>VN-04-11-02</t>
  </si>
  <si>
    <t>VN-04-15-02</t>
  </si>
  <si>
    <t>VN-04-16-03</t>
  </si>
  <si>
    <t>VN-04-16-04</t>
  </si>
  <si>
    <t>VN-04-21-02</t>
  </si>
  <si>
    <t>VN-04-24-03</t>
  </si>
  <si>
    <t>VN-05-03-03</t>
  </si>
  <si>
    <t>VN-05-09-02</t>
  </si>
  <si>
    <t>VN-05-12-02</t>
  </si>
  <si>
    <t>VN-05-13-03</t>
  </si>
  <si>
    <t>VN-05-14-02</t>
  </si>
  <si>
    <t>VN-06-05-02</t>
  </si>
  <si>
    <t>VN-06-16-03</t>
  </si>
  <si>
    <t>VN-07-01-03</t>
  </si>
  <si>
    <t>VN-07-15-02</t>
  </si>
  <si>
    <t>VN-07-23-01</t>
  </si>
  <si>
    <t>Udeme Etuk</t>
  </si>
  <si>
    <t>Salaries for staff June operations</t>
  </si>
  <si>
    <t>Labour for granite packing</t>
  </si>
  <si>
    <t>Transportation to orile &amp; reapir of pump</t>
  </si>
  <si>
    <t>Parts for Kama pump</t>
  </si>
  <si>
    <t>Petrol for servicing of dewatering pump</t>
  </si>
  <si>
    <t>Hiab papers &amp; vehicle license for driver</t>
  </si>
  <si>
    <t>Packing of Geho pump</t>
  </si>
  <si>
    <t>Purchase of oil seal,fuel filter &amp; Leather</t>
  </si>
  <si>
    <t>Purchase of Saw blade &amp; Transport</t>
  </si>
  <si>
    <t>Transportation To site(Eko Atlantic)</t>
  </si>
  <si>
    <t>Overtime for driver(Collins) 4dys</t>
  </si>
  <si>
    <t>Overtime for driver(Ikechukwu) 1dy</t>
  </si>
  <si>
    <t>Transportation To site(Falomo)</t>
  </si>
  <si>
    <t>Parts for dewatering pump</t>
  </si>
  <si>
    <t>Purchase of Taflon water seal</t>
  </si>
  <si>
    <t>Purchase of Measuring tape</t>
  </si>
  <si>
    <t>Petrol for L200(Abibu-oki)</t>
  </si>
  <si>
    <t>NSITF for April- June 2025</t>
  </si>
  <si>
    <t>Purchase of wet shield (first bank)</t>
  </si>
  <si>
    <t>VN-07-22-01</t>
  </si>
  <si>
    <t>Workmanship for repairs of Hiab arm</t>
  </si>
  <si>
    <t>Purchase of Wifi-Router</t>
  </si>
  <si>
    <t>Purchase of Spacers(Ijebu)</t>
  </si>
  <si>
    <t>Balance payment for repair of sewage pump</t>
  </si>
  <si>
    <t>Advance payment for Tiling</t>
  </si>
  <si>
    <t>Purchase of plumbing materials</t>
  </si>
  <si>
    <t>Purchase of waste bin bag &amp; brush</t>
  </si>
  <si>
    <t>Purchase of snacks &amp; drinks for office</t>
  </si>
  <si>
    <t>Petrol for L200(SouthenergyX)</t>
  </si>
  <si>
    <t>VN-07-04-02</t>
  </si>
  <si>
    <t>Repair of L200(Coil &amp; Radiator)</t>
  </si>
  <si>
    <t>Printing of site worker handbook</t>
  </si>
  <si>
    <t>Petrol for Tundra &amp; Transport</t>
  </si>
  <si>
    <t>Overtime for driver(Toheeb) 2dys</t>
  </si>
  <si>
    <t>petrol for First bank job</t>
  </si>
  <si>
    <t>Purchase of Ac battery</t>
  </si>
  <si>
    <t>Purchase of cement bag</t>
  </si>
  <si>
    <t>Repair of L200(Brainbox)</t>
  </si>
  <si>
    <t>Purchase of Handbrush for waterproofing</t>
  </si>
  <si>
    <t>Elerangbe</t>
  </si>
  <si>
    <t>Nidaco</t>
  </si>
  <si>
    <t>VN-08-01-01</t>
  </si>
  <si>
    <t>Overtime for Operations</t>
  </si>
  <si>
    <t>Overtime for Site workers July</t>
  </si>
  <si>
    <t>Warehoue Assistant allowance for July</t>
  </si>
  <si>
    <t>Salaries for Operations July</t>
  </si>
  <si>
    <t>Salaries for Admin July</t>
  </si>
  <si>
    <t>Salaries for Site workers July</t>
  </si>
  <si>
    <t>VN-08-01-02</t>
  </si>
  <si>
    <t>Repairs of L200</t>
  </si>
  <si>
    <t>Purchase of handwash, hypo &amp; Sugar</t>
  </si>
  <si>
    <t>Dcel staff recharge cards for August</t>
  </si>
  <si>
    <t>Purchase of drinks for Office</t>
  </si>
  <si>
    <t>Petrol for repairs of dewatering pump</t>
  </si>
  <si>
    <t>Transportation from Abijo to Office</t>
  </si>
  <si>
    <t>Pumping of Tyre</t>
  </si>
  <si>
    <t>VN-08-07-01</t>
  </si>
  <si>
    <t>Purchase of Speed limiter</t>
  </si>
  <si>
    <t>Machine Repairs(First Bank)</t>
  </si>
  <si>
    <t>Repairs of dewatering pump</t>
  </si>
  <si>
    <t>VN-08-05-01</t>
  </si>
  <si>
    <t>Payment for Lease of dewatering pump</t>
  </si>
  <si>
    <t>Advance payment for Mechanic</t>
  </si>
  <si>
    <t>Payment for Area boys</t>
  </si>
  <si>
    <t>Transportation to &amp; fro Island</t>
  </si>
  <si>
    <t>Administrative fee</t>
  </si>
  <si>
    <t>Transportation for mechanic(Hiab Parts)</t>
  </si>
  <si>
    <t>VN-08-09-01</t>
  </si>
  <si>
    <t>Diesel for Site (elerangbe)</t>
  </si>
  <si>
    <t>Refund for Site movement &amp; Repairs</t>
  </si>
  <si>
    <t>Balance payment for engine oil</t>
  </si>
  <si>
    <t>Painting for First Bank work area</t>
  </si>
  <si>
    <t>Purchase of Hose(Elerangbe)</t>
  </si>
  <si>
    <t>Exhaust repairs for Benz</t>
  </si>
  <si>
    <t>Internet for HOD</t>
  </si>
  <si>
    <t>Purchase of Cement bags</t>
  </si>
  <si>
    <t>Mechanic for Hiab</t>
  </si>
  <si>
    <t>Temporary driver(2dys)</t>
  </si>
  <si>
    <t>VN-07-15-03</t>
  </si>
  <si>
    <t>Aqua seal 300(First Bank)</t>
  </si>
  <si>
    <t>Purchase of Engine oil</t>
  </si>
  <si>
    <t>Labour for Scaffolding setup(Office)</t>
  </si>
  <si>
    <t>VN-07-30-01</t>
  </si>
  <si>
    <t>Tire repairs for Tundra</t>
  </si>
  <si>
    <t>plumbing works</t>
  </si>
  <si>
    <t>Purchase of Amorfix 109</t>
  </si>
  <si>
    <t>VN-08-01-03</t>
  </si>
  <si>
    <t>Purchase of Petrol for Benz</t>
  </si>
  <si>
    <t>Balance payment for Amorfix 109</t>
  </si>
  <si>
    <t>9 bags of cement(first Bank)</t>
  </si>
  <si>
    <t>Purchase of wood</t>
  </si>
  <si>
    <t>Ups Driver</t>
  </si>
  <si>
    <t>Hiab Repairs</t>
  </si>
  <si>
    <t>Hiab Driver</t>
  </si>
  <si>
    <t>Purchase of Toolbox</t>
  </si>
  <si>
    <t>VN-03-21-01</t>
  </si>
  <si>
    <t>VN-03-021-01</t>
  </si>
  <si>
    <t>Transportation to SouthenergyX</t>
  </si>
  <si>
    <t>VN-03-06-02</t>
  </si>
  <si>
    <t>VN-08-15-01</t>
  </si>
  <si>
    <t>Renewal of benz papers</t>
  </si>
  <si>
    <t>Delivery of battery</t>
  </si>
  <si>
    <t>Purchase of battery</t>
  </si>
  <si>
    <t>Snacks &amp; Drinks for office</t>
  </si>
  <si>
    <t>Staff T/T allowance for August 2025</t>
  </si>
  <si>
    <t>Purchase of Diesel(elerangbe)</t>
  </si>
  <si>
    <t>VN-08-18-01</t>
  </si>
  <si>
    <t>Petrol for First Bank Movement</t>
  </si>
  <si>
    <t>Transportation to Bank</t>
  </si>
  <si>
    <t>Logistics to Orile</t>
  </si>
  <si>
    <t>Driver's fee First bank</t>
  </si>
  <si>
    <t>Coffee &amp; milk for visitor</t>
  </si>
  <si>
    <t>Paint for Warehouse</t>
  </si>
  <si>
    <t>Petrol for repair of pump</t>
  </si>
  <si>
    <t>Purchase of Brake oil</t>
  </si>
  <si>
    <t>VN-08-19-01</t>
  </si>
  <si>
    <t>Purchase of float switch</t>
  </si>
  <si>
    <t>Repair of submersible pump</t>
  </si>
  <si>
    <t>Commission for First bank</t>
  </si>
  <si>
    <t>Labour for First Bank Job</t>
  </si>
  <si>
    <t>Advance salary for driver(Toheeb)</t>
  </si>
  <si>
    <t>Balance payment for panel of sewage pump</t>
  </si>
  <si>
    <t>VN-08-21-01</t>
  </si>
  <si>
    <t>Petrol for l200</t>
  </si>
  <si>
    <t>Payment for Packing</t>
  </si>
  <si>
    <t>Payment for Mechanic</t>
  </si>
  <si>
    <t>Salary Advance for Thomas</t>
  </si>
  <si>
    <t>VN-01-22-01</t>
  </si>
  <si>
    <t>VN-02-27-01</t>
  </si>
  <si>
    <t>Purchase of Laptops</t>
  </si>
  <si>
    <t>VN-09-01-01</t>
  </si>
  <si>
    <t>Staff salaries for August (Operations)</t>
  </si>
  <si>
    <t>Staff salaries for August (Siteworkers)</t>
  </si>
  <si>
    <t>Staff salaries for August(Admin)</t>
  </si>
  <si>
    <t>Overtime for Operations (August)</t>
  </si>
  <si>
    <t>Overtime for Siteworkers (August)</t>
  </si>
  <si>
    <t>Warehouse assistant allowance for August</t>
  </si>
  <si>
    <t>Cleaning allownace for August 2025</t>
  </si>
  <si>
    <t>Overtime for warehouse assistant (August)</t>
  </si>
  <si>
    <t>VN-09-03-01</t>
  </si>
  <si>
    <t>Olatunde Alonge</t>
  </si>
  <si>
    <t>ITB</t>
  </si>
  <si>
    <t>Petrol for Sienna and L200</t>
  </si>
  <si>
    <t>Purchase of Premier Engine Oil</t>
  </si>
  <si>
    <t>Two Geho Diesel Engine Oil (25L)</t>
  </si>
  <si>
    <t>Petrol for jetting @ ITB</t>
  </si>
  <si>
    <t>VN-09-06-01</t>
  </si>
  <si>
    <t>Purchase of 2 Chisel and Grease</t>
  </si>
  <si>
    <t>Purchase of 3 Bags of Cement</t>
  </si>
  <si>
    <t>Purchase of Petrol for Generator</t>
  </si>
  <si>
    <t>Petrol for jetting pump</t>
  </si>
  <si>
    <t>Purchase of Detergent, Hypo, Broom</t>
  </si>
  <si>
    <t>Purchase of toner, A4 paper and Pens</t>
  </si>
  <si>
    <t>Purchase of dishwasher and waste nylon</t>
  </si>
  <si>
    <t>VN-09-16-01</t>
  </si>
  <si>
    <t>VN-09-13-01</t>
  </si>
  <si>
    <t>Chisel for Jack Hammer</t>
  </si>
  <si>
    <t>Purchase of 8 Bags of cement</t>
  </si>
  <si>
    <t>VN-09-06-02</t>
  </si>
  <si>
    <t>Tea and Transport allowance for Sept 2025</t>
  </si>
  <si>
    <t>Water supply for office</t>
  </si>
  <si>
    <t>Student registration and school fees (Bukola)</t>
  </si>
  <si>
    <t>Drivers Overtime for 3 days</t>
  </si>
  <si>
    <t>PENCOM Penalty for 3 years</t>
  </si>
  <si>
    <t>Alicia Obokia</t>
  </si>
  <si>
    <t>VN-09-01-02</t>
  </si>
  <si>
    <t>Oved Consultancy fee for August 2025</t>
  </si>
  <si>
    <t>Woof Consulting fee for August 2025</t>
  </si>
  <si>
    <t>Security allowance for August</t>
  </si>
  <si>
    <t>VN-09-01-03</t>
  </si>
  <si>
    <t>Dcel Staff Recharge card for September 2025</t>
  </si>
  <si>
    <t>Student Allowance for August 2025</t>
  </si>
  <si>
    <t>VN-08-01-04</t>
  </si>
  <si>
    <t>HR Consulting Fee for July 2025</t>
  </si>
  <si>
    <t>Oved Consulting fee for July 2025</t>
  </si>
  <si>
    <t>Hiab Rental for mobilization for Nidaco</t>
  </si>
  <si>
    <t>PENCOM (2018-2024)</t>
  </si>
  <si>
    <t>PAYE For July 2025</t>
  </si>
  <si>
    <t>VAT for July 2025</t>
  </si>
  <si>
    <t>Part Payment for Panel for Sewage Pump</t>
  </si>
  <si>
    <t>VN-10-07-01</t>
  </si>
  <si>
    <t>Transport Fare from Abibu Oki for Tunde</t>
  </si>
  <si>
    <t>Transport Fare for Usman</t>
  </si>
  <si>
    <t>Purchase of two Padlocks</t>
  </si>
  <si>
    <t>Purchase of Nestle coffee</t>
  </si>
  <si>
    <t>Korle's transport fare to Eko Atlantic</t>
  </si>
  <si>
    <t xml:space="preserve">Purchase of AAA battery and detergent </t>
  </si>
  <si>
    <t>Tyre Pumping for Tundra</t>
  </si>
  <si>
    <t>VN-10-02-01</t>
  </si>
  <si>
    <t>Balance Salary for Tunde</t>
  </si>
  <si>
    <t>Overtime for Driver Toheeb</t>
  </si>
  <si>
    <t>Student Allowance</t>
  </si>
  <si>
    <t xml:space="preserve">Purchase of Cement for First Bank </t>
  </si>
  <si>
    <t>Staff Salary for 2 days</t>
  </si>
  <si>
    <t>Staff Call Credit for October</t>
  </si>
  <si>
    <t>VN-09-24-01</t>
  </si>
  <si>
    <t>Premises Charge for Peter Davis Apartment (6 months)</t>
  </si>
  <si>
    <t>Repair of L200 (Radiator)</t>
  </si>
  <si>
    <t>VN-10-13-01</t>
  </si>
  <si>
    <t>Purchase of grinding paste</t>
  </si>
  <si>
    <t>Purchase of 3 inch kama Pump Starter</t>
  </si>
  <si>
    <t>Purchase of petrol for L200</t>
  </si>
  <si>
    <t>Purchase of fully synthetic oil for Tundra</t>
  </si>
  <si>
    <t>Purchase of 15bags of Sochem tilegum</t>
  </si>
  <si>
    <t>Purchase of 34 40by40 Tiles</t>
  </si>
  <si>
    <t xml:space="preserve">Transportation to site </t>
  </si>
  <si>
    <t>VAT for September 2025</t>
  </si>
  <si>
    <t>PAYE for September 2025</t>
  </si>
  <si>
    <t>Electrical Repairs n MD House</t>
  </si>
  <si>
    <t>Transport to Site</t>
  </si>
  <si>
    <t>VN-10-10-01</t>
  </si>
  <si>
    <t>VN-10-15-01</t>
  </si>
  <si>
    <t>Purchase of 2 yards of Sand Paper</t>
  </si>
  <si>
    <t>Purchase of petrol for fixing Geho Pumps</t>
  </si>
  <si>
    <t>Purchase of Petrol for fixing Geho Pumps</t>
  </si>
  <si>
    <t>Cement for Tilling office</t>
  </si>
  <si>
    <t>Plumbering for office</t>
  </si>
  <si>
    <t>Purchase of a Ceiling fan for the Staff Room</t>
  </si>
  <si>
    <t>VN-09-30-01</t>
  </si>
  <si>
    <t>Student Allowance for September</t>
  </si>
  <si>
    <t>Overtime for Drivers(Collins)</t>
  </si>
  <si>
    <t>Security Allowance for Sept</t>
  </si>
  <si>
    <t>VN-11-04-01</t>
  </si>
  <si>
    <t>Call credits for staff</t>
  </si>
  <si>
    <t>RKK</t>
  </si>
  <si>
    <t>Univeral Homes</t>
  </si>
  <si>
    <t>Lekki</t>
  </si>
  <si>
    <t>Alaro City</t>
  </si>
  <si>
    <t>Auto Truck Maintenance</t>
  </si>
  <si>
    <t>VN-09-30-02</t>
  </si>
  <si>
    <t>Salaries for September 2025</t>
  </si>
  <si>
    <t>Overtime for site workers ( South)</t>
  </si>
  <si>
    <t>Overtime for site workers  (ITB)</t>
  </si>
  <si>
    <t>Overtime for site worker (1st Bank)</t>
  </si>
  <si>
    <t>Consultation fee for sept 2025</t>
  </si>
  <si>
    <t>Overtime for staff (office)</t>
  </si>
  <si>
    <t>Cleaning fee for Sept 2025</t>
  </si>
  <si>
    <t>Security fee for Sept 2025</t>
  </si>
  <si>
    <t>VN-10-06-01</t>
  </si>
  <si>
    <t>Purcahse of liquid soap and Harpic</t>
  </si>
  <si>
    <t>Vehicle paper Renewal road worthiness</t>
  </si>
  <si>
    <t>Purcahse of Anti rust paint for dewatering</t>
  </si>
  <si>
    <t>Purchase of Iron brush</t>
  </si>
  <si>
    <t>Delivery of iron brush</t>
  </si>
  <si>
    <t>VN-10-16-01</t>
  </si>
  <si>
    <t>Advance payment for tiler</t>
  </si>
  <si>
    <t>Petrol for fixing Geho pumps</t>
  </si>
  <si>
    <t>Payment for Tiling work for Emeka</t>
  </si>
  <si>
    <t>Operational Expenses</t>
  </si>
  <si>
    <t>VN-10-16-02</t>
  </si>
  <si>
    <t>Rent for Student (CSR) Bukola</t>
  </si>
  <si>
    <t>Overtime for Driver (Toheeb)</t>
  </si>
  <si>
    <t>Overtime for Driver (Collings)</t>
  </si>
  <si>
    <t>Chemical for wood Furniture/Workmanship</t>
  </si>
  <si>
    <t>Tiler workmanship (part)</t>
  </si>
  <si>
    <t>T&amp;T Allowance for staff</t>
  </si>
  <si>
    <t>VN-10-22-01</t>
  </si>
  <si>
    <t>Delivery of celing fan</t>
  </si>
  <si>
    <t>Plumbing materials for office repairs</t>
  </si>
  <si>
    <t>Drink and serviette purchase</t>
  </si>
  <si>
    <t>Purchase of mouse for MD</t>
  </si>
  <si>
    <t>VN-10-24-01</t>
  </si>
  <si>
    <t>Oil Pump for Geho machine</t>
  </si>
  <si>
    <t>Part payment for tiler</t>
  </si>
  <si>
    <t>Gas refill for HOD</t>
  </si>
  <si>
    <t>Plumbing repairs for HOD</t>
  </si>
  <si>
    <t>Directors Expense</t>
  </si>
  <si>
    <t>VN-10-31-01</t>
  </si>
  <si>
    <t>Petrol for  Sienna</t>
  </si>
  <si>
    <t>Toll gate fee</t>
  </si>
  <si>
    <t>Petrol for Jetting Lekki</t>
  </si>
  <si>
    <t>Petrol for  Jetting (ITB2)</t>
  </si>
  <si>
    <t>VN-10-31-02</t>
  </si>
  <si>
    <t>Staff salaries for October 2025</t>
  </si>
  <si>
    <t>Overtime for site workers Oct 2025</t>
  </si>
  <si>
    <t>HR Consultation fee for Oct 2025</t>
  </si>
  <si>
    <t>Drivers fee for Oct 2025</t>
  </si>
  <si>
    <t>Cleaning fee for October 2025</t>
  </si>
  <si>
    <t>Security fee for Oct 2025</t>
  </si>
  <si>
    <t>Esther</t>
  </si>
  <si>
    <t>VN-11-11-01</t>
  </si>
  <si>
    <t>Petrol For L200</t>
  </si>
  <si>
    <t>Pumping for L200 tyre</t>
  </si>
  <si>
    <t xml:space="preserve">Cement for Tiling DCEL Office </t>
  </si>
  <si>
    <t>Fixing of 0.75HP pressure pump</t>
  </si>
  <si>
    <t>Fixing of the office pressure pump wiring</t>
  </si>
  <si>
    <t>Petrol For Sienna</t>
  </si>
  <si>
    <t>VN-11-07-01</t>
  </si>
  <si>
    <t>Fixing of Hiab tyres</t>
  </si>
  <si>
    <t>Part Payment For Hiab Purchase</t>
  </si>
  <si>
    <t>Hatz Engine for Dewatering pump</t>
  </si>
  <si>
    <t>Diesel engine oil for machine</t>
  </si>
  <si>
    <t>Olabanjo</t>
  </si>
  <si>
    <t>Ikpakodo</t>
  </si>
  <si>
    <t>VN-11-10-01</t>
  </si>
  <si>
    <t>Cement breaking and ladder</t>
  </si>
  <si>
    <t>Ladder for 3 days</t>
  </si>
  <si>
    <t>Water proofing workmanship</t>
  </si>
  <si>
    <t>Materials for capentry works at Ikpakodo</t>
  </si>
  <si>
    <t>Purchase of slate? Transport of slate</t>
  </si>
  <si>
    <t>Breaking of slab workmanship balance</t>
  </si>
  <si>
    <t>Purchase of solo slab &amp; transport Material</t>
  </si>
  <si>
    <t>VN-11-12-01</t>
  </si>
  <si>
    <t>Coupling for 4 inch Jetting Pump</t>
  </si>
  <si>
    <t>Jetting Pump Spring and Coupling</t>
  </si>
  <si>
    <t>Water Seal for 4 inch Jetting Pump</t>
  </si>
  <si>
    <t>Bolt for Jetting pumps</t>
  </si>
  <si>
    <t>Workmanship for repair of jetting pumps</t>
  </si>
  <si>
    <t>Purchase of exhaust for 3inch pump</t>
  </si>
  <si>
    <t>warehouse assistant salary  for January 2025</t>
  </si>
  <si>
    <t>purchase of  40mm pressure end car plug</t>
  </si>
  <si>
    <t>VN-11-12-02</t>
  </si>
  <si>
    <t>Tiling  workmanship office (part payment)</t>
  </si>
  <si>
    <t>Purchase of broom for Office</t>
  </si>
  <si>
    <t>Vehicle pass for inspection</t>
  </si>
  <si>
    <t>Welding of Geho Jetting flang</t>
  </si>
  <si>
    <t>Payment for endcap for dewatering filters</t>
  </si>
  <si>
    <t>Purchase of  power steering oil</t>
  </si>
  <si>
    <t>Gate pass to Lekki</t>
  </si>
  <si>
    <t>VN-11-19-01</t>
  </si>
  <si>
    <t>Purchase of 4 inch pump</t>
  </si>
  <si>
    <t>Rubber coppling 4 inches Jetting pump</t>
  </si>
  <si>
    <t>Simping springs for Jetting pump</t>
  </si>
  <si>
    <t>Workmanship for repairs of surface pumps</t>
  </si>
  <si>
    <t>Payment for Toll gate fee</t>
  </si>
  <si>
    <t>Purchase of  reams A4 Paper</t>
  </si>
  <si>
    <t>2 Battery terminal for Hiab</t>
  </si>
  <si>
    <t>Transportation to Ilasa</t>
  </si>
  <si>
    <t>VN-11-21-01</t>
  </si>
  <si>
    <t>Nozzle for 4 inch pump</t>
  </si>
  <si>
    <t>Water seal for 3 inch pump</t>
  </si>
  <si>
    <t>Metal barrow bearing for 4 inch pump</t>
  </si>
  <si>
    <t>Gasket gums, gasket liquid and transportation</t>
  </si>
  <si>
    <t>Gloves for office Safety PPE</t>
  </si>
  <si>
    <t>Delivery of PPE (Gloves ) to the office</t>
  </si>
  <si>
    <t>Transport to sabo and back</t>
  </si>
  <si>
    <t>VN-11-26-01</t>
  </si>
  <si>
    <t xml:space="preserve">Purchase of Bottle water, purewater, waste bin </t>
  </si>
  <si>
    <t>Battery Head repairs for Hiab</t>
  </si>
  <si>
    <t>Welding of Hiab light protector</t>
  </si>
  <si>
    <t>repairs of office chairs</t>
  </si>
  <si>
    <t>repairs of Hiab light</t>
  </si>
  <si>
    <t>VN-11-26-02</t>
  </si>
  <si>
    <t>Repairs of Hiab Brake</t>
  </si>
  <si>
    <t>Business Development for South Energy</t>
  </si>
  <si>
    <t>Rewire works</t>
  </si>
  <si>
    <t xml:space="preserve">Purchase of groundnut oil </t>
  </si>
  <si>
    <t>Printing of ID cards</t>
  </si>
  <si>
    <t>Purchase of soap</t>
  </si>
  <si>
    <t>Repairs of L200 (Tiny belts and censor)</t>
  </si>
  <si>
    <t>machine Maintenance</t>
  </si>
  <si>
    <t>VN-11-28-01</t>
  </si>
  <si>
    <t>Security fee for November</t>
  </si>
  <si>
    <t>Student allowance for November</t>
  </si>
  <si>
    <t>Payment of student Handouts</t>
  </si>
  <si>
    <t>Administrative allowance Staff</t>
  </si>
  <si>
    <t>Purchase of rice for staff</t>
  </si>
  <si>
    <t>VN-11-10-02</t>
  </si>
  <si>
    <t>Purchase of saw and cement by bidemi</t>
  </si>
  <si>
    <t>Delivery of water proofing chemical</t>
  </si>
  <si>
    <t>Part payment for breaking slab</t>
  </si>
  <si>
    <t>Petrol for generator for breaking slab</t>
  </si>
  <si>
    <t>Renting of  Ladder</t>
  </si>
  <si>
    <t>Part Labour fee for Capentry works</t>
  </si>
  <si>
    <t>Material purchase for roofing</t>
  </si>
  <si>
    <t>Ceiling board Purchase</t>
  </si>
  <si>
    <t>VN-10-31-03</t>
  </si>
  <si>
    <t>VN-10-31-04</t>
  </si>
  <si>
    <t>Payment to Emeka for breaking slab</t>
  </si>
  <si>
    <t>VN-11-07-02</t>
  </si>
  <si>
    <t>Workmanship for water proofing works</t>
  </si>
  <si>
    <t>Part payment for slab breaking</t>
  </si>
  <si>
    <t>Student allowance for October</t>
  </si>
  <si>
    <t>Purchase of tyres of tundra and dlivery</t>
  </si>
  <si>
    <t>Extraction of Hiab broken keys</t>
  </si>
  <si>
    <t>VN-10-03-01</t>
  </si>
  <si>
    <t>Petrol refund for L200</t>
  </si>
  <si>
    <t>Staff pay for september</t>
  </si>
  <si>
    <t>Staff salary for August 2025</t>
  </si>
  <si>
    <t>Petrol L200 and petrol for Jetting</t>
  </si>
  <si>
    <t>Delivery of Engine Oil</t>
  </si>
  <si>
    <t>Transportation to refund items</t>
  </si>
  <si>
    <t>Transportation to site and pumping of tyre</t>
  </si>
  <si>
    <t>salaries for September 2025</t>
  </si>
  <si>
    <t>VN-10-13-02</t>
  </si>
  <si>
    <t>Transportation to Oyingbo</t>
  </si>
  <si>
    <t>Petrol for repairs, Engine oil for Benz and sand</t>
  </si>
  <si>
    <t>Staff salary advance for October</t>
  </si>
  <si>
    <t>Repair of HOD phone</t>
  </si>
  <si>
    <t>Petrol for repairs</t>
  </si>
  <si>
    <t>Purchase of detergent, Hypo, handwash and air freshner</t>
  </si>
  <si>
    <t>Security allowance</t>
  </si>
  <si>
    <t>Salaries for November 2025</t>
  </si>
  <si>
    <t>VN-11-28-02</t>
  </si>
  <si>
    <t>Consultation fee for November 2025</t>
  </si>
  <si>
    <t>Overtime for Site workers (Universal)</t>
  </si>
  <si>
    <t>Overtime for worker (office)</t>
  </si>
  <si>
    <t>Overtime for worker ITB</t>
  </si>
  <si>
    <t>Cleaning Fee for November 2025</t>
  </si>
  <si>
    <t>VN-12-01-01</t>
  </si>
  <si>
    <t>Purchase of Dish wash</t>
  </si>
  <si>
    <t>Paid staff salary (Thomas)</t>
  </si>
  <si>
    <t>Payment for sharp file</t>
  </si>
  <si>
    <t>Overtime for 3 days for Toheeb</t>
  </si>
  <si>
    <t>VN-12-03-01</t>
  </si>
  <si>
    <t>Uniform laundry service fee</t>
  </si>
  <si>
    <t>Fixing of Hiab keys</t>
  </si>
  <si>
    <t>Staff call credit</t>
  </si>
  <si>
    <t>Purchase of bottle water, Toiletries and pure water</t>
  </si>
  <si>
    <t>water seal and water cap</t>
  </si>
  <si>
    <t>Workmanship for Jetting pump</t>
  </si>
  <si>
    <t>Vehicle renewal for sienna</t>
  </si>
  <si>
    <t>school fee for three students</t>
  </si>
  <si>
    <t>VN-12-03-02</t>
  </si>
  <si>
    <t>VAT for November 2025</t>
  </si>
  <si>
    <t>Commission on RKK site</t>
  </si>
  <si>
    <t>Mouse and Laptop purchase</t>
  </si>
  <si>
    <t>PAYE for November (LIRS) 2025</t>
  </si>
  <si>
    <t>Payment for Internet Subscription</t>
  </si>
  <si>
    <t>proofing</t>
  </si>
  <si>
    <t>VN-12-09-01</t>
  </si>
  <si>
    <t>Overtime for drivers</t>
  </si>
  <si>
    <t>Purchase of two 25 litres of diesel engine oil</t>
  </si>
  <si>
    <t>Transportation from site (HITECH)</t>
  </si>
  <si>
    <t>Repairs and pumping of tyre</t>
  </si>
  <si>
    <t>Transportation for repairs</t>
  </si>
  <si>
    <t>Rental of Dewatering pump</t>
  </si>
  <si>
    <t>Onigbanjo</t>
  </si>
  <si>
    <t>Ipakodo</t>
  </si>
  <si>
    <t>Balance payment for governor for Dewatering</t>
  </si>
  <si>
    <t>Christmas Hampers for client</t>
  </si>
  <si>
    <t>Commission for first bank</t>
  </si>
  <si>
    <t>PAYE for December</t>
  </si>
  <si>
    <t>Shipping fee for Hiab</t>
  </si>
  <si>
    <t>Equipment rental</t>
  </si>
  <si>
    <t>VN-12-21-01</t>
  </si>
  <si>
    <t>Payment for mechanic</t>
  </si>
  <si>
    <t>Plumbing works, materials and labour</t>
  </si>
  <si>
    <t>Credit for phone</t>
  </si>
  <si>
    <t>Panel beater for Tundra</t>
  </si>
  <si>
    <t>MTN Data</t>
  </si>
  <si>
    <t>payment of parts for Tundra,  Upholstry, Repairs, painting, Tyre reams, Horn, Tyre fixing, and repairs of Tundra</t>
  </si>
  <si>
    <t>Hiab rewire</t>
  </si>
  <si>
    <t>Vulcanizer</t>
  </si>
  <si>
    <t>VN-12-03-03</t>
  </si>
  <si>
    <t>Repairs of  Benz , workmanship, Benz parts rear sensor, panel beater, tyre reams for Benz</t>
  </si>
  <si>
    <t>Electricity for Director</t>
  </si>
  <si>
    <t>Eko Electricity</t>
  </si>
  <si>
    <t>Ikpakodo capentry works</t>
  </si>
  <si>
    <t>Overtime and out of station for Yusuf (driver)</t>
  </si>
  <si>
    <t>Payment for Internet Fibre one</t>
  </si>
  <si>
    <t>Mouse for office Laptop</t>
  </si>
  <si>
    <t>Diesel</t>
  </si>
  <si>
    <t>VN-12-05-01</t>
  </si>
  <si>
    <t>PVC gum</t>
  </si>
  <si>
    <t>Welding of Hiab light</t>
  </si>
  <si>
    <t>VN-12-09-02</t>
  </si>
  <si>
    <t>Audit fee for 2025</t>
  </si>
  <si>
    <t>VN-12-16-01</t>
  </si>
  <si>
    <t>VN-12-12-01</t>
  </si>
  <si>
    <t>Diesel and petrol for site</t>
  </si>
  <si>
    <t>HMO for staff for Dec 2025</t>
  </si>
  <si>
    <t>Balance on Hiab shipment</t>
  </si>
  <si>
    <t>Rent payment for office at panti</t>
  </si>
  <si>
    <t>Welfare for tax consultant</t>
  </si>
  <si>
    <t>Loan to AO (car loan)</t>
  </si>
  <si>
    <t>Long term service bonus for staff</t>
  </si>
  <si>
    <t>Airport parking space ticket</t>
  </si>
  <si>
    <t>motor Vehicle Maintenance</t>
  </si>
  <si>
    <t>VN-07-21-01</t>
  </si>
  <si>
    <t>VN-08-01-05</t>
  </si>
  <si>
    <t>Student allowance for July 2025</t>
  </si>
  <si>
    <t>Security Allowance for July 2025</t>
  </si>
  <si>
    <t>Admission form and screening fee</t>
  </si>
  <si>
    <t>Battery terminal for Hiab</t>
  </si>
  <si>
    <t>Payment for plumber (First bank)</t>
  </si>
  <si>
    <t>Staff lunch for general meeting</t>
  </si>
  <si>
    <t>Labour for sharp sand packing</t>
  </si>
  <si>
    <t>part payment for lease of hiab</t>
  </si>
  <si>
    <t>first bak</t>
  </si>
  <si>
    <t>VN-08-04-01</t>
  </si>
  <si>
    <t>Welding cost for Jetting pipe</t>
  </si>
  <si>
    <t>Cement for first bank</t>
  </si>
  <si>
    <t>Custom duty charge for accessories</t>
  </si>
  <si>
    <t>Transportation for workers</t>
  </si>
  <si>
    <t>Armosil chemical for first bank</t>
  </si>
  <si>
    <t>Medical for Alicia</t>
  </si>
  <si>
    <t>c</t>
  </si>
  <si>
    <t>VN-08-11-01</t>
  </si>
  <si>
    <t>Tiler Workmanship</t>
  </si>
  <si>
    <t>Speed limiter for Hiab</t>
  </si>
  <si>
    <t>Tiler workmanship</t>
  </si>
  <si>
    <t>Armosil chemical (first bank)</t>
  </si>
  <si>
    <t>Repair of  Hiab (part payment)</t>
  </si>
  <si>
    <t>Rental of Hiab</t>
  </si>
  <si>
    <t>Cutting of marble</t>
  </si>
  <si>
    <t>machine maintenance</t>
  </si>
  <si>
    <t>VN-06-27-01</t>
  </si>
  <si>
    <t>payment of angle grinder</t>
  </si>
  <si>
    <t>Payee for October 2025</t>
  </si>
  <si>
    <t>Petrol for Tundra 1</t>
  </si>
  <si>
    <t>Petrol for Tundra 2</t>
  </si>
  <si>
    <t>Petrol for Tundra 3</t>
  </si>
  <si>
    <t>Exhaust for 3inch Pump</t>
  </si>
  <si>
    <t>Cleaning fee for July (titi)</t>
  </si>
  <si>
    <t>Security fee for jult(adamu)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</si>
</sst>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]dd/mm/yyyy;@" x16r2:formatCode16="[$-en-NG,1]dd/mm/yyyy;@"/>
    <numFmt numFmtId="166" formatCode="_-* #,##0_-;\-* #,##0_-;_-* &quot;-&quot;??_-;_-@_-"/>
    <numFmt numFmtId="167" formatCode="dd/mm/yyyy;@"/>
  </numFmts>
  <fonts count="2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mbria"/>
      <family val="1"/>
    </font>
    <font>
      <sz val="11"/>
      <color theme="4" tint="-0.249977111117893"/>
      <name val="Cambria"/>
      <family val="1"/>
    </font>
    <font>
      <b/>
      <sz val="11"/>
      <color theme="4" tint="-0.249977111117893"/>
      <name val="Cambria"/>
      <family val="1"/>
    </font>
    <font>
      <b/>
      <sz val="11"/>
      <name val="Cambria"/>
      <family val="1"/>
    </font>
    <font>
      <b/>
      <sz val="11"/>
      <color theme="0"/>
      <name val="Cambria"/>
      <family val="1"/>
    </font>
    <font>
      <b/>
      <sz val="12"/>
      <color rgb="FF003366"/>
      <name val="Cambria"/>
      <family val="1"/>
    </font>
    <font>
      <b/>
      <sz val="12"/>
      <color theme="4" tint="-0.249977111117893"/>
      <name val="Cambria"/>
      <family val="1"/>
    </font>
    <font>
      <b/>
      <sz val="24"/>
      <color theme="0"/>
      <name val="Cambria"/>
      <family val="1"/>
    </font>
    <font>
      <b/>
      <sz val="11"/>
      <color theme="1"/>
      <name val="Cambria"/>
      <family val="1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336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5" fillId="0" borderId="0" xfId="0" applyFont="1"/>
    <xf numFmtId="164" fontId="5" fillId="0" borderId="0" xfId="1" applyFont="1"/>
    <xf numFmtId="164" fontId="1" fillId="0" borderId="0" xfId="1" applyFont="1"/>
    <xf numFmtId="0" fontId="0" fillId="0" borderId="0" xfId="0" applyAlignment="1">
      <alignment horizontal="left"/>
    </xf>
    <xf numFmtId="164" fontId="0" fillId="0" borderId="0" xfId="1" applyFont="1"/>
    <xf numFmtId="0" fontId="4" fillId="0" borderId="0" xfId="0" applyFont="1" applyProtection="1">
      <protection locked="0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5" fillId="0" borderId="0" xfId="0" applyNumberFormat="1" applyFont="1"/>
    <xf numFmtId="0" fontId="6" fillId="0" borderId="1" xfId="0" applyFont="1" applyBorder="1" applyAlignment="1" applyProtection="1">
      <alignment horizontal="center"/>
      <protection locked="0"/>
    </xf>
    <xf numFmtId="4" fontId="6" fillId="0" borderId="1" xfId="0" applyNumberFormat="1" applyFont="1" applyBorder="1" applyAlignment="1" applyProtection="1">
      <alignment horizontal="right"/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167" fontId="6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165" fontId="6" fillId="0" borderId="1" xfId="0" applyNumberFormat="1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165" fontId="4" fillId="0" borderId="0" xfId="0" applyNumberFormat="1" applyFont="1" applyAlignment="1">
      <alignment horizontal="left"/>
    </xf>
    <xf numFmtId="0" fontId="7" fillId="0" borderId="0" xfId="0" applyFont="1" applyProtection="1">
      <protection locked="0"/>
    </xf>
    <xf numFmtId="4" fontId="7" fillId="0" borderId="0" xfId="0" applyNumberFormat="1" applyFont="1"/>
    <xf numFmtId="4" fontId="7" fillId="0" borderId="0" xfId="0" applyNumberFormat="1" applyFont="1" applyAlignment="1">
      <alignment horizontal="right"/>
    </xf>
    <xf numFmtId="167" fontId="7" fillId="0" borderId="0" xfId="0" applyNumberFormat="1" applyFont="1" applyAlignment="1">
      <alignment horizontal="left"/>
    </xf>
    <xf numFmtId="167" fontId="7" fillId="0" borderId="0" xfId="0" applyNumberFormat="1" applyFont="1" applyAlignment="1" applyProtection="1">
      <alignment horizontal="left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164" fontId="1" fillId="0" borderId="2" xfId="1" applyFont="1" applyBorder="1" applyAlignment="1">
      <alignment horizontal="right"/>
    </xf>
    <xf numFmtId="0" fontId="0" fillId="5" borderId="4" xfId="0" applyFill="1" applyBorder="1"/>
    <xf numFmtId="0" fontId="0" fillId="5" borderId="5" xfId="0" applyFill="1" applyBorder="1"/>
    <xf numFmtId="0" fontId="0" fillId="0" borderId="5" xfId="0" applyBorder="1"/>
    <xf numFmtId="0" fontId="0" fillId="0" borderId="6" xfId="0" applyBorder="1"/>
    <xf numFmtId="14" fontId="11" fillId="0" borderId="0" xfId="0" applyNumberFormat="1" applyFont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4" fontId="7" fillId="0" borderId="0" xfId="0" applyNumberFormat="1" applyFont="1" applyAlignment="1" applyProtection="1">
      <alignment horizontal="center"/>
      <protection locked="0"/>
    </xf>
    <xf numFmtId="0" fontId="10" fillId="6" borderId="3" xfId="0" applyFont="1" applyFill="1" applyBorder="1" applyAlignment="1" applyProtection="1">
      <alignment horizontal="center" vertical="center" wrapText="1"/>
      <protection locked="0"/>
    </xf>
    <xf numFmtId="0" fontId="10" fillId="6" borderId="7" xfId="0" applyFont="1" applyFill="1" applyBorder="1" applyAlignment="1" applyProtection="1">
      <alignment vertical="center"/>
      <protection locked="0"/>
    </xf>
    <xf numFmtId="165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left" wrapText="1"/>
    </xf>
    <xf numFmtId="164" fontId="11" fillId="0" borderId="14" xfId="0" applyNumberFormat="1" applyFont="1" applyBorder="1" applyAlignment="1">
      <alignment horizontal="left" wrapText="1"/>
    </xf>
    <xf numFmtId="0" fontId="11" fillId="0" borderId="15" xfId="0" applyFont="1" applyBorder="1" applyAlignment="1">
      <alignment horizontal="left" wrapText="1"/>
    </xf>
    <xf numFmtId="0" fontId="8" fillId="2" borderId="0" xfId="0" applyFont="1" applyFill="1"/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4" borderId="11" xfId="0" applyFont="1" applyFill="1" applyBorder="1" applyAlignment="1">
      <alignment horizontal="center"/>
    </xf>
    <xf numFmtId="0" fontId="16" fillId="4" borderId="0" xfId="0" applyFont="1" applyFill="1"/>
    <xf numFmtId="0" fontId="16" fillId="4" borderId="12" xfId="0" applyFont="1" applyFill="1" applyBorder="1"/>
    <xf numFmtId="0" fontId="16" fillId="2" borderId="0" xfId="0" applyFont="1" applyFill="1"/>
    <xf numFmtId="0" fontId="12" fillId="0" borderId="11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0" fillId="4" borderId="0" xfId="0" applyFont="1" applyFill="1" applyAlignment="1">
      <alignment vertical="center"/>
    </xf>
    <xf numFmtId="0" fontId="16" fillId="2" borderId="0" xfId="0" applyFont="1" applyFill="1" applyAlignment="1">
      <alignment horizontal="left" vertical="center"/>
    </xf>
    <xf numFmtId="0" fontId="10" fillId="4" borderId="11" xfId="0" applyFont="1" applyFill="1" applyBorder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14" fillId="4" borderId="16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horizontal="center"/>
    </xf>
    <xf numFmtId="0" fontId="8" fillId="4" borderId="0" xfId="0" applyFont="1" applyFill="1"/>
    <xf numFmtId="0" fontId="8" fillId="4" borderId="12" xfId="0" applyFont="1" applyFill="1" applyBorder="1"/>
    <xf numFmtId="0" fontId="10" fillId="6" borderId="16" xfId="0" applyFont="1" applyFill="1" applyBorder="1" applyAlignment="1" applyProtection="1">
      <alignment vertical="center" wrapText="1"/>
      <protection locked="0"/>
    </xf>
    <xf numFmtId="0" fontId="4" fillId="0" borderId="0" xfId="0" applyFont="1"/>
    <xf numFmtId="0" fontId="17" fillId="0" borderId="0" xfId="0" applyFont="1" applyProtection="1"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10" fillId="4" borderId="12" xfId="0" applyFont="1" applyFill="1" applyBorder="1" applyAlignment="1">
      <alignment vertical="center"/>
    </xf>
    <xf numFmtId="22" fontId="0" fillId="0" borderId="0" xfId="0" applyNumberFormat="1"/>
    <xf numFmtId="167" fontId="6" fillId="0" borderId="2" xfId="0" applyNumberFormat="1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center"/>
      <protection locked="0"/>
    </xf>
    <xf numFmtId="165" fontId="6" fillId="0" borderId="2" xfId="0" applyNumberFormat="1" applyFont="1" applyBorder="1" applyAlignment="1" applyProtection="1">
      <alignment horizontal="left"/>
      <protection locked="0"/>
    </xf>
    <xf numFmtId="4" fontId="6" fillId="0" borderId="2" xfId="0" applyNumberFormat="1" applyFont="1" applyBorder="1" applyAlignment="1" applyProtection="1">
      <alignment horizontal="right"/>
      <protection locked="0"/>
    </xf>
    <xf numFmtId="0" fontId="6" fillId="8" borderId="0" xfId="0" applyFont="1" applyFill="1" applyProtection="1">
      <protection locked="0"/>
    </xf>
    <xf numFmtId="165" fontId="18" fillId="9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 vertical="center" wrapText="1"/>
    </xf>
    <xf numFmtId="164" fontId="11" fillId="0" borderId="0" xfId="1" applyFont="1" applyBorder="1" applyAlignment="1" applyProtection="1">
      <alignment horizontal="right" vertical="center" wrapText="1"/>
      <protection locked="0"/>
    </xf>
    <xf numFmtId="4" fontId="11" fillId="2" borderId="0" xfId="0" applyNumberFormat="1" applyFont="1" applyFill="1" applyAlignment="1" applyProtection="1">
      <alignment horizontal="right" vertical="center" wrapText="1"/>
      <protection locked="0"/>
    </xf>
    <xf numFmtId="3" fontId="11" fillId="2" borderId="0" xfId="0" applyNumberFormat="1" applyFont="1" applyFill="1" applyAlignment="1" applyProtection="1">
      <alignment horizontal="right" vertical="center" wrapText="1"/>
      <protection locked="0"/>
    </xf>
    <xf numFmtId="14" fontId="11" fillId="0" borderId="17" xfId="0" applyNumberFormat="1" applyFont="1" applyBorder="1" applyAlignment="1" applyProtection="1">
      <alignment horizontal="left" vertical="center" wrapText="1"/>
      <protection locked="0"/>
    </xf>
    <xf numFmtId="0" fontId="11" fillId="2" borderId="0" xfId="0" applyFont="1" applyFill="1" applyAlignment="1" applyProtection="1">
      <alignment horizontal="right" vertical="center" wrapText="1"/>
      <protection locked="0"/>
    </xf>
    <xf numFmtId="0" fontId="11" fillId="0" borderId="12" xfId="0" applyFont="1" applyBorder="1" applyAlignment="1" applyProtection="1">
      <alignment horizontal="left" vertical="center" wrapText="1"/>
      <protection locked="0"/>
    </xf>
    <xf numFmtId="0" fontId="15" fillId="3" borderId="8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137">
    <dxf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bottom" textRotation="0" wrapTex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]dd/mm/yyyy;@" x16r2:formatCode16="[$-en-NG,1]dd/mm/yyyy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dd/mm/yyyy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left" vertical="bottom" textRotation="0" wrapText="1" indent="0" justifyLastLine="0" shrinkToFit="0" readingOrder="0"/>
      <border diagonalUp="0" diagonalDown="0" outline="0">
        <left/>
        <right style="thick">
          <color theme="4" tint="-0.24994659260841701"/>
        </right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left" vertical="bottom" textRotation="0" wrapText="1" indent="0" justifyLastLine="0" shrinkToFit="0" readingOrder="0"/>
      <border diagonalUp="0" diagonalDown="0" outline="0">
        <left/>
        <right/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4" formatCode="_(* #,##0.00_);_(* \(#,##0.00\);_(* &quot;-&quot;??_);_(@_)"/>
      <alignment horizontal="left" vertical="bottom" textRotation="0" wrapText="1" indent="0" justifyLastLine="0" shrinkToFit="0" readingOrder="0"/>
      <border diagonalUp="0" diagonalDown="0" outline="0">
        <left/>
        <right/>
        <top/>
        <bottom style="thick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righ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left" vertical="bottom" textRotation="0" wrapText="1" indent="0" justifyLastLine="0" shrinkToFit="0" readingOrder="0"/>
      <border diagonalUp="0" diagonalDown="0" outline="0">
        <left/>
        <right/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left" vertical="bottom" textRotation="0" wrapText="1" indent="0" justifyLastLine="0" shrinkToFit="0" readingOrder="0"/>
      <border diagonalUp="0" diagonalDown="0" outline="0">
        <left/>
        <right/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left" vertical="bottom" textRotation="0" wrapText="1" indent="0" justifyLastLine="0" shrinkToFit="0" readingOrder="0"/>
      <border diagonalUp="0" diagonalDown="0" outline="0">
        <left/>
        <right/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ck">
          <color theme="4" tint="-0.24994659260841701"/>
        </left>
        <right/>
        <top/>
        <bottom style="thick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Cambria"/>
        <family val="1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206204</xdr:colOff>
      <xdr:row>0</xdr:row>
      <xdr:rowOff>0</xdr:rowOff>
    </xdr:from>
    <xdr:to>
      <xdr:col>10</xdr:col>
      <xdr:colOff>241842</xdr:colOff>
      <xdr:row>12</xdr:row>
      <xdr:rowOff>75395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04086" y="0"/>
          <a:ext cx="1963050" cy="30337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2</xdr:row>
          <xdr:rowOff>241300</xdr:rowOff>
        </xdr:from>
        <xdr:to>
          <xdr:col>8</xdr:col>
          <xdr:colOff>546100</xdr:colOff>
          <xdr:row>4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3366"/>
                  </a:solidFill>
                  <a:latin typeface="Cambria"/>
                  <a:ea typeface="Cambria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9</xdr:row>
          <xdr:rowOff>82550</xdr:rowOff>
        </xdr:from>
        <xdr:to>
          <xdr:col>8</xdr:col>
          <xdr:colOff>546100</xdr:colOff>
          <xdr:row>11</xdr:row>
          <xdr:rowOff>31750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3366"/>
                  </a:solidFill>
                  <a:latin typeface="Cambria"/>
                  <a:ea typeface="Cambria"/>
                </a:rPr>
                <a:t>CLEAR VOUCHER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279400</xdr:colOff>
          <xdr:row>5</xdr:row>
          <xdr:rowOff>31750</xdr:rowOff>
        </xdr:from>
        <xdr:to>
          <xdr:col>8</xdr:col>
          <xdr:colOff>552450</xdr:colOff>
          <xdr:row>6</xdr:row>
          <xdr:rowOff>266700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3366"/>
                  </a:solidFill>
                  <a:latin typeface="Cambria"/>
                  <a:ea typeface="Cambria"/>
                </a:rPr>
                <a:t>RELOAD VOUCHER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50800</xdr:rowOff>
        </xdr:from>
        <xdr:to>
          <xdr:col>3</xdr:col>
          <xdr:colOff>508000</xdr:colOff>
          <xdr:row>2</xdr:row>
          <xdr:rowOff>400050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50800</xdr:rowOff>
        </xdr:from>
        <xdr:to>
          <xdr:col>3</xdr:col>
          <xdr:colOff>971550</xdr:colOff>
          <xdr:row>2</xdr:row>
          <xdr:rowOff>400050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6</xdr:row>
          <xdr:rowOff>457200</xdr:rowOff>
        </xdr:from>
        <xdr:to>
          <xdr:col>8</xdr:col>
          <xdr:colOff>546100</xdr:colOff>
          <xdr:row>8</xdr:row>
          <xdr:rowOff>165100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3366"/>
                  </a:solidFill>
                  <a:latin typeface="Cambria"/>
                  <a:ea typeface="Cambria"/>
                </a:rPr>
                <a:t>DELETE VOUCHER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7</xdr:col>
      <xdr:colOff>155510</xdr:colOff>
      <xdr:row>0</xdr:row>
      <xdr:rowOff>200867</xdr:rowOff>
    </xdr:from>
    <xdr:to>
      <xdr:col>10</xdr:col>
      <xdr:colOff>68035</xdr:colOff>
      <xdr:row>2</xdr:row>
      <xdr:rowOff>246224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069286" y="200867"/>
          <a:ext cx="1749489" cy="463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SELECT</a:t>
          </a:r>
          <a:r>
            <a:rPr lang="en-GB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OPTION</a:t>
          </a:r>
        </a:p>
        <a:p>
          <a:endParaRPr lang="en-GB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C1B195-5BE8-4E98-8C30-B6D69F2F085F}" name="Table11" displayName="Table11" ref="A7:G16" totalsRowCount="1" headerRowDxfId="136" dataDxfId="135" totalsRowDxfId="134">
  <autoFilter ref="A7:G15" xr:uid="{0CC1B195-5BE8-4E98-8C30-B6D69F2F085F}"/>
  <tableColumns count="7">
    <tableColumn id="1" xr3:uid="{FCCD36C1-3DFA-4CBE-9529-1A8F49DF3C9B}" name="S/N" totalsRowLabel="Total" dataDxfId="133" totalsRowDxfId="132"/>
    <tableColumn id="2" xr3:uid="{2A63D20C-B0E5-4105-97F0-785B7BBE0427}" name="Transaction Date" dataDxfId="131" totalsRowDxfId="130"/>
    <tableColumn id="3" xr3:uid="{E92E0874-5726-4E6D-969B-09E32FDBAF19}" name="Description" dataDxfId="129" totalsRowDxfId="128"/>
    <tableColumn id="5" xr3:uid="{1FF59F69-C7C8-4483-81E9-98F1C5CC06FE}" name="Category" dataDxfId="127" totalsRowDxfId="126"/>
    <tableColumn id="4" xr3:uid="{BAE9786B-62D5-4FD4-B997-1FE9D3974594}" name="Amount" totalsRowFunction="sum" dataDxfId="125" totalsRowDxfId="124"/>
    <tableColumn id="6" xr3:uid="{4FAD7A39-B5EA-4A55-AF2D-73115C85640A}" name="Client" dataDxfId="123" totalsRowDxfId="122"/>
    <tableColumn id="7" xr3:uid="{9D3BB8B9-AFD1-4B6C-8365-9A8031BECBE4}" name="Site" dataDxfId="121" totalsRowDxfId="1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C94FE7-BE0F-4F56-AAED-B6C1BD2106F1}" name="ExpenseTable" displayName="ExpenseTable" ref="A3:K1352" totalsRowShown="0" headerRowDxfId="119" tableBorderDxfId="118">
  <autoFilter ref="A3:K1352" xr:uid="{A943E8A7-A193-4E31-BA8D-ED8451EC8050}"/>
  <sortState xmlns:xlrd2="http://schemas.microsoft.com/office/spreadsheetml/2017/richdata2" ref="A4:K1234">
    <sortCondition ref="B4:B1234"/>
    <sortCondition ref="C4:C1234"/>
  </sortState>
  <tableColumns count="11">
    <tableColumn id="1" xr3:uid="{15F723E6-D585-409F-B6DB-6AEB7BA001CD}" name="Transaction Date" dataDxfId="117"/>
    <tableColumn id="8" xr3:uid="{03425458-106A-4B1D-A0D0-53B779396A3E}" name="Voucher No" dataDxfId="116"/>
    <tableColumn id="9" xr3:uid="{32D79602-ABD6-4D22-8345-106F9A80DACC}" name="Voucher Date" dataDxfId="115"/>
    <tableColumn id="4" xr3:uid="{79ED8B1A-4EE4-49C9-9D7D-4887A7A4A5FC}" name="Description" dataDxfId="114"/>
    <tableColumn id="5" xr3:uid="{9B2889FF-25B9-4598-9D1D-A5BF27BAAEC5}" name="Amount" dataDxfId="113"/>
    <tableColumn id="6" xr3:uid="{8C06F4FF-D97B-41F6-BADF-5FEE3EA3A81B}" name="Category" dataDxfId="112"/>
    <tableColumn id="2" xr3:uid="{2AF6E815-158C-4ABB-BBED-ACE5C900D756}" name="Client" dataDxfId="111"/>
    <tableColumn id="11" xr3:uid="{2E519B3F-EC22-4DD6-B2AA-01350E0F7021}" name="Site" dataDxfId="110"/>
    <tableColumn id="7" xr3:uid="{E2ECCF13-980E-4002-B6F2-D34F28AEC423}" name="Paid From" dataDxfId="109"/>
    <tableColumn id="12" xr3:uid="{65DB300D-8201-490F-BBB7-DAB692030F68}" name="Mth" dataDxfId="108">
      <calculatedColumnFormula>+MONTH(ExpenseTable[[#This Row],[Voucher Date]])</calculatedColumnFormula>
    </tableColumn>
    <tableColumn id="3" xr3:uid="{C83115D8-C7DA-4F57-B34F-CC61F59164BE}" name="Entered By" dataDxfId="10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3CE996-0B7D-4ECB-A672-298C8899153D}" name="Table3" displayName="Table3" ref="A1:A13" totalsRowShown="0">
  <autoFilter ref="A1:A13" xr:uid="{3DD9E8A6-4CE4-4AC3-BBB2-0A6925C1BCFB}"/>
  <tableColumns count="1">
    <tableColumn id="1" xr3:uid="{FC71078F-B603-41FD-A63C-0F606F957998}" name="Month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10B017-D0C5-4356-BB00-5C3BD5F9F8F9}" name="Table1" displayName="Table1" ref="C1:C48" totalsRowShown="0" headerRowDxfId="106" dataDxfId="105">
  <autoFilter ref="C1:C48" xr:uid="{B0B04C4D-70FD-4E7A-831E-7C58147820B8}"/>
  <sortState xmlns:xlrd2="http://schemas.microsoft.com/office/spreadsheetml/2017/richdata2" ref="C2:C48">
    <sortCondition ref="C2:C48"/>
  </sortState>
  <tableColumns count="1">
    <tableColumn id="1" xr3:uid="{8E1B3FFC-2063-46D1-8A5E-5C7E92AB9EA6}" name="CATEGORIES" dataDxfId="104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A55DE7-B7CD-4CC3-8271-412E7049AC01}" name="Clients" displayName="Clients" ref="F1:F12" totalsRowShown="0">
  <autoFilter ref="F1:F12" xr:uid="{92BB29F7-CE15-492A-81B4-1C7437F50EC9}"/>
  <sortState xmlns:xlrd2="http://schemas.microsoft.com/office/spreadsheetml/2017/richdata2" ref="F2:F12">
    <sortCondition ref="F5:F12"/>
  </sortState>
  <tableColumns count="1">
    <tableColumn id="1" xr3:uid="{2399312F-6D64-4FBF-AEAB-ED31531FDCAC}" name="Clien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E01D18-340E-4D20-A2CD-21E48D9FEF97}" name="Sites" displayName="Sites" ref="G1:G12" totalsRowShown="0">
  <autoFilter ref="G1:G12" xr:uid="{DE949315-2D24-4B79-9C0E-F9B3A63D6484}"/>
  <sortState xmlns:xlrd2="http://schemas.microsoft.com/office/spreadsheetml/2017/richdata2" ref="G2:G12">
    <sortCondition ref="G3:G12"/>
  </sortState>
  <tableColumns count="1">
    <tableColumn id="1" xr3:uid="{9A8C8325-D0ED-4C81-BCAB-55A959DF3691}" name="Site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01B7-D05D-46FC-8BDE-CF6BD9609C81}" name="Table7" displayName="Table7" ref="E1:E9" totalsRowShown="0">
  <autoFilter ref="E1:E9" xr:uid="{2FC43617-A234-4A52-B7E7-5FBA369E9905}"/>
  <sortState xmlns:xlrd2="http://schemas.microsoft.com/office/spreadsheetml/2017/richdata2" ref="E2:E9">
    <sortCondition ref="E2:E9"/>
  </sortState>
  <tableColumns count="1">
    <tableColumn id="1" xr3:uid="{98C4FFBB-CDC3-4681-B821-6956E14BF710}" name="Pay Fro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7562238-A109-4285-A99E-C6680F7882BA}" name="Table8" displayName="Table8" ref="M1:Z2" totalsRowShown="0">
  <autoFilter ref="M1:Z2" xr:uid="{CAEECDED-9A7D-414A-9330-966A18F13741}"/>
  <tableColumns count="14">
    <tableColumn id="1" xr3:uid="{148438F2-C07F-43AA-BD45-4D1359794D3F}" name="Month"/>
    <tableColumn id="2" xr3:uid="{DD3DB711-717C-496B-A2A8-1815C2EE3E21}" name="Jan"/>
    <tableColumn id="3" xr3:uid="{581F7671-2909-41BA-914F-518A9E1F5AE0}" name="Feb"/>
    <tableColumn id="4" xr3:uid="{D431E100-4FB2-406C-988B-EFEDC5DD87A0}" name="Mar"/>
    <tableColumn id="5" xr3:uid="{3AFF03B3-60B7-4944-BD2E-59C8B018FFF2}" name="Apr"/>
    <tableColumn id="6" xr3:uid="{AF43940E-9BED-4230-9334-C09512D18CAE}" name="May"/>
    <tableColumn id="7" xr3:uid="{4CDA43EF-CCDF-47BA-941A-409E86F833C5}" name="Jun"/>
    <tableColumn id="8" xr3:uid="{0D4EF365-8B17-462B-A0F5-5EBCAA700296}" name="Jul"/>
    <tableColumn id="9" xr3:uid="{63D62282-C607-477E-9A6D-F41FFE6E9125}" name="Aug"/>
    <tableColumn id="10" xr3:uid="{08DED7E5-149A-4E50-AFB4-E6C3E66931C4}" name="Sep"/>
    <tableColumn id="11" xr3:uid="{199AEE85-E436-4406-B714-5C56A91B5A38}" name="Oct"/>
    <tableColumn id="12" xr3:uid="{55B77301-557A-46EC-894C-C9C70097CA3B}" name="Nov"/>
    <tableColumn id="13" xr3:uid="{28CD8C1F-BB59-4228-A432-D43E300F9FDD}" name="Dec"/>
    <tableColumn id="14" xr3:uid="{5DAF800B-AD07-4458-9EA3-B0F19AA841AA}" name="Alonge Olatun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2D69C08-7969-426F-B46E-9AFE99162A4B}" name="Table12" displayName="Table12" ref="I5:J8" totalsRowShown="0">
  <autoFilter ref="I5:J8" xr:uid="{A2D69C08-7969-426F-B46E-9AFE99162A4B}"/>
  <tableColumns count="2">
    <tableColumn id="1" xr3:uid="{833F4DD9-6588-48EA-B00F-C66434AE609F}" name="USERS"/>
    <tableColumn id="2" xr3:uid="{D871745D-9621-46E1-8673-F0C53D92F6A4}" name="PASSWORD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78F596-5199-4A4E-9521-EF19BF6DEDF9}" name="Table10" displayName="Table10" ref="M5:Q12" totalsRowShown="0">
  <autoFilter ref="M5:Q12" xr:uid="{C878F596-5199-4A4E-9521-EF19BF6DEDF9}"/>
  <tableColumns count="5">
    <tableColumn id="1" xr3:uid="{D717EA23-DB32-4451-BB76-773216C9BB41}" name="Client" dataDxfId="103"/>
    <tableColumn id="2" xr3:uid="{F2D1DF9F-A64F-4998-BD6E-E6499A0FFA86}" name="site 1"/>
    <tableColumn id="3" xr3:uid="{1CC9213C-6FDA-4790-B1B3-9CF1E5F0BD55}" name="Site 2"/>
    <tableColumn id="4" xr3:uid="{EC39032A-C3C5-4AA4-9CD5-8CB82C7F7CF2}" name="Site 3"/>
    <tableColumn id="5" xr3:uid="{3C0DE0AB-C51D-4DBD-8756-D0925504A6E4}" name="Site 4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C80AB-0FE5-4E03-A051-7268FCCF1D06}" name="Table4" displayName="Table4" ref="A1:P47" totalsRowCount="1" headerRowDxfId="102" dataDxfId="101">
  <autoFilter ref="A1:P46" xr:uid="{11EC80AB-0FE5-4E03-A051-7268FCCF1D06}"/>
  <sortState xmlns:xlrd2="http://schemas.microsoft.com/office/spreadsheetml/2017/richdata2" ref="A2:P41">
    <sortCondition ref="A2:A41"/>
  </sortState>
  <tableColumns count="16">
    <tableColumn id="1" xr3:uid="{1AA1AD5D-46BE-4D85-A4A4-822C106AD862}" name="Category" totalsRowLabel="Totals" dataDxfId="100" totalsRowDxfId="99"/>
    <tableColumn id="16" xr3:uid="{7D3803F7-A0AE-408D-8CF0-DA0D1A94F53A}" name="Rank" dataDxfId="98" totalsRowDxfId="97">
      <calculatedColumnFormula>+RANK(Table4[[#This Row],[Total]],Table4[Total],0)</calculatedColumnFormula>
    </tableColumn>
    <tableColumn id="15" xr3:uid="{ACA9ED55-C7AC-4395-9DBD-22242679D6D5}" name="No. of Trans" totalsRowFunction="sum" dataDxfId="96" totalsRowDxfId="95">
      <calculatedColumnFormula>+COUNTIF(ExpenseTable[Category],Table4[[#This Row],[Category]])</calculatedColumnFormula>
    </tableColumn>
    <tableColumn id="2" xr3:uid="{6336138C-4012-44C1-B8B0-45574195CDA8}" name="Total" totalsRowFunction="sum" dataDxfId="94" totalsRowDxfId="93" dataCellStyle="Comma">
      <calculatedColumnFormula>+SUMIF(ExpenseTable[Category],Table4[[#This Row],[Category]],ExpenseTable[Amount])</calculatedColumnFormula>
    </tableColumn>
    <tableColumn id="3" xr3:uid="{B63C63CC-6058-4438-8D1B-9A4DB14D8887}" name="Jan" totalsRowFunction="sum" dataDxfId="92" totalsRowDxfId="91" dataCellStyle="Comma">
      <calculatedColumnFormula>+SUMIFS(ExpenseTable[Amount],ExpenseTable[Category],Table4[[#This Row],[Category]],ExpenseTable[Mth],1)</calculatedColumnFormula>
    </tableColumn>
    <tableColumn id="4" xr3:uid="{78598C38-DE08-4815-A2BC-728C018F344E}" name="Feb" totalsRowFunction="sum" dataDxfId="90" totalsRowDxfId="89" dataCellStyle="Comma">
      <calculatedColumnFormula>+SUMIFS(ExpenseTable[Amount],ExpenseTable[Category],Table4[[#This Row],[Category]],ExpenseTable[Mth],2)</calculatedColumnFormula>
    </tableColumn>
    <tableColumn id="5" xr3:uid="{9AE6319A-548D-4C39-906B-9C0D91B503A7}" name="Mar" totalsRowFunction="sum" dataDxfId="88" totalsRowDxfId="87" dataCellStyle="Comma">
      <calculatedColumnFormula>+SUMIFS(ExpenseTable[Amount],ExpenseTable[Category],Table4[[#This Row],[Category]],ExpenseTable[Mth],3)</calculatedColumnFormula>
    </tableColumn>
    <tableColumn id="6" xr3:uid="{66D7330A-9EA3-437E-9BD7-34599337F1C1}" name="Apr" totalsRowFunction="sum" dataDxfId="86" totalsRowDxfId="85" dataCellStyle="Comma">
      <calculatedColumnFormula>+SUMIFS(ExpenseTable[Amount],ExpenseTable[Category],Table4[[#This Row],[Category]],ExpenseTable[Mth],4)</calculatedColumnFormula>
    </tableColumn>
    <tableColumn id="7" xr3:uid="{89274770-9622-4310-9815-E6EA2B42D88A}" name="May" totalsRowFunction="sum" dataDxfId="84" totalsRowDxfId="83" dataCellStyle="Comma">
      <calculatedColumnFormula>+SUMIFS(ExpenseTable[Amount],ExpenseTable[Category],Table4[[#This Row],[Category]],ExpenseTable[Mth],5)</calculatedColumnFormula>
    </tableColumn>
    <tableColumn id="8" xr3:uid="{95D05CE0-62B8-46CC-9C63-FC7FC36D337C}" name="Jun" totalsRowFunction="sum" dataDxfId="82" totalsRowDxfId="81" dataCellStyle="Comma">
      <calculatedColumnFormula>+SUMIFS(ExpenseTable[Amount],ExpenseTable[Category],Table4[[#This Row],[Category]],ExpenseTable[Mth],6)</calculatedColumnFormula>
    </tableColumn>
    <tableColumn id="9" xr3:uid="{856B3B49-3806-4F7A-A931-CC76481DF1BD}" name="Jul" totalsRowFunction="sum" dataDxfId="80" totalsRowDxfId="79" dataCellStyle="Comma">
      <calculatedColumnFormula>+SUMIFS(ExpenseTable[Amount],ExpenseTable[Category],Table4[[#This Row],[Category]],ExpenseTable[Mth],7)</calculatedColumnFormula>
    </tableColumn>
    <tableColumn id="10" xr3:uid="{A49591AC-E178-42C2-9122-A766B18C8A75}" name="Aug" totalsRowFunction="sum" dataDxfId="78" totalsRowDxfId="77" dataCellStyle="Comma">
      <calculatedColumnFormula>+SUMIFS(ExpenseTable[Amount],ExpenseTable[Category],Table4[[#This Row],[Category]],ExpenseTable[Mth],8)</calculatedColumnFormula>
    </tableColumn>
    <tableColumn id="11" xr3:uid="{E1F319E3-C5CF-45A9-AA06-394F9EE5C6C0}" name="Sep" totalsRowFunction="sum" dataDxfId="76" totalsRowDxfId="75" dataCellStyle="Comma">
      <calculatedColumnFormula>+SUMIFS(ExpenseTable[Amount],ExpenseTable[Category],Table4[[#This Row],[Category]],ExpenseTable[Mth],9)</calculatedColumnFormula>
    </tableColumn>
    <tableColumn id="12" xr3:uid="{9645CCF1-FCC5-449F-89B0-40EA4A988AD4}" name="Oct" totalsRowFunction="sum" dataDxfId="74" totalsRowDxfId="73" dataCellStyle="Comma">
      <calculatedColumnFormula>+SUMIFS(ExpenseTable[Amount],ExpenseTable[Category],Table4[[#This Row],[Category]],ExpenseTable[Mth],10)</calculatedColumnFormula>
    </tableColumn>
    <tableColumn id="13" xr3:uid="{B8E2B6D9-043D-4211-9F29-D24C38CFB5A1}" name="Nov" totalsRowFunction="sum" dataDxfId="72" totalsRowDxfId="71" dataCellStyle="Comma">
      <calculatedColumnFormula>+SUMIFS(ExpenseTable[Amount],ExpenseTable[Category],Table4[[#This Row],[Category]],ExpenseTable[Mth],11)</calculatedColumnFormula>
    </tableColumn>
    <tableColumn id="14" xr3:uid="{6E2EE12B-2AD0-4876-81AF-D2A387FDF74A}" name="Dec" totalsRowFunction="sum" dataDxfId="70" totalsRowDxfId="69" dataCellStyle="Comma">
      <calculatedColumnFormula>+SUMIFS(ExpenseTable[Amount],ExpenseTable[Category],Table4[[#This Row],[Category]],ExpenseTable[Mth],12)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83C820F-53FA-4446-B8AE-41FD9C77DA25}" name="Table410" displayName="Table410" ref="A1:P10" totalsRowCount="1" headerRowDxfId="68" dataDxfId="67">
  <autoFilter ref="A1:P9" xr:uid="{11EC80AB-0FE5-4E03-A051-7268FCCF1D06}"/>
  <sortState xmlns:xlrd2="http://schemas.microsoft.com/office/spreadsheetml/2017/richdata2" ref="A2:P9">
    <sortCondition ref="A2:A9"/>
  </sortState>
  <tableColumns count="16">
    <tableColumn id="1" xr3:uid="{98E49BAE-C03B-470E-AC80-FAAA4F4DD85E}" name="Paid From" totalsRowLabel="Totals" dataDxfId="66" totalsRowDxfId="65"/>
    <tableColumn id="16" xr3:uid="{E222EF75-8FA4-42DA-B124-A86D00BB81FF}" name="Rank" dataDxfId="64" totalsRowDxfId="63">
      <calculatedColumnFormula>+RANK(Table410[[#This Row],[Total]],Table410[Total],0)</calculatedColumnFormula>
    </tableColumn>
    <tableColumn id="15" xr3:uid="{DF041A4A-AA58-4567-AE2D-9071FEE0529E}" name="No. of Trans" totalsRowFunction="sum" dataDxfId="62" totalsRowDxfId="61">
      <calculatedColumnFormula>+COUNTIF(ExpenseTable[Paid From],Table410[[#This Row],[Paid From]])</calculatedColumnFormula>
    </tableColumn>
    <tableColumn id="2" xr3:uid="{08050B6E-A42D-45C0-9DBC-632904BD178C}" name="Total" totalsRowFunction="sum" dataDxfId="60" totalsRowDxfId="59" dataCellStyle="Comma">
      <calculatedColumnFormula>+SUMIF(ExpenseTable[Paid From],Table410[[#This Row],[Paid From]],ExpenseTable[Amount])</calculatedColumnFormula>
    </tableColumn>
    <tableColumn id="3" xr3:uid="{9AC9373B-EB8D-4DEA-8A0E-F6C42990043F}" name="Jan" totalsRowFunction="sum" dataDxfId="58" totalsRowDxfId="57" dataCellStyle="Comma">
      <calculatedColumnFormula>+SUMIFS(ExpenseTable[Amount],ExpenseTable[Paid From],Table410[[#This Row],[Paid From]],ExpenseTable[Mth],1)</calculatedColumnFormula>
    </tableColumn>
    <tableColumn id="4" xr3:uid="{08E0C49B-7493-4991-B5D6-E31D827CF67E}" name="Feb" totalsRowFunction="sum" dataDxfId="56" totalsRowDxfId="55" dataCellStyle="Comma">
      <calculatedColumnFormula>+SUMIFS(ExpenseTable[Amount],ExpenseTable[Paid From],Table410[[#This Row],[Paid From]],ExpenseTable[Mth],2)</calculatedColumnFormula>
    </tableColumn>
    <tableColumn id="5" xr3:uid="{04F6E9E6-6350-4D4D-9F1A-1FC977CF1D64}" name="Mar" totalsRowFunction="sum" dataDxfId="54" totalsRowDxfId="53" dataCellStyle="Comma">
      <calculatedColumnFormula>+SUMIFS(ExpenseTable[Amount],ExpenseTable[Paid From],Table410[[#This Row],[Paid From]],ExpenseTable[Mth],3)</calculatedColumnFormula>
    </tableColumn>
    <tableColumn id="6" xr3:uid="{60174FA3-A813-4E97-B86F-B335DC04677C}" name="Apr" totalsRowFunction="sum" dataDxfId="52" totalsRowDxfId="51" dataCellStyle="Comma">
      <calculatedColumnFormula>+SUMIFS(ExpenseTable[Amount],ExpenseTable[Paid From],Table410[[#This Row],[Paid From]],ExpenseTable[Mth],4)</calculatedColumnFormula>
    </tableColumn>
    <tableColumn id="7" xr3:uid="{1414FCCB-B045-4A57-8704-E0021A9FA928}" name="May" totalsRowFunction="sum" dataDxfId="50" totalsRowDxfId="49" dataCellStyle="Comma">
      <calculatedColumnFormula>+SUMIFS(ExpenseTable[Amount],ExpenseTable[Paid From],Table410[[#This Row],[Paid From]],ExpenseTable[Mth],5)</calculatedColumnFormula>
    </tableColumn>
    <tableColumn id="8" xr3:uid="{08DD0F8B-D840-4CEC-85ED-253CB35D8C67}" name="Jun" totalsRowFunction="sum" dataDxfId="48" totalsRowDxfId="47" dataCellStyle="Comma">
      <calculatedColumnFormula>+SUMIFS(ExpenseTable[Amount],ExpenseTable[Paid From],Table410[[#This Row],[Paid From]],ExpenseTable[Mth],6)</calculatedColumnFormula>
    </tableColumn>
    <tableColumn id="9" xr3:uid="{EAA108FB-C241-4CE1-9DEA-B94E3925CB56}" name="Jul" totalsRowFunction="sum" dataDxfId="46" totalsRowDxfId="45" dataCellStyle="Comma">
      <calculatedColumnFormula>+SUMIFS(ExpenseTable[Amount],ExpenseTable[Paid From],Table410[[#This Row],[Paid From]],ExpenseTable[Mth],7)</calculatedColumnFormula>
    </tableColumn>
    <tableColumn id="10" xr3:uid="{0291B3C9-F8DD-4511-99C4-F0C1CF5305B7}" name="Aug" totalsRowFunction="sum" dataDxfId="44" totalsRowDxfId="43" dataCellStyle="Comma">
      <calculatedColumnFormula>+SUMIFS(ExpenseTable[Amount],ExpenseTable[Paid From],Table410[[#This Row],[Paid From]],ExpenseTable[Mth],8)</calculatedColumnFormula>
    </tableColumn>
    <tableColumn id="11" xr3:uid="{FB821654-15F2-4A5E-89F2-0AAEE6B5CC44}" name="Sep" totalsRowFunction="sum" dataDxfId="42" totalsRowDxfId="41" dataCellStyle="Comma">
      <calculatedColumnFormula>+SUMIFS(ExpenseTable[Amount],ExpenseTable[Paid From],Table410[[#This Row],[Paid From]],ExpenseTable[Mth],9)</calculatedColumnFormula>
    </tableColumn>
    <tableColumn id="12" xr3:uid="{9240B6E2-C767-4C76-A515-1D6023FA31CD}" name="Oct" totalsRowFunction="sum" dataDxfId="40" totalsRowDxfId="39" dataCellStyle="Comma">
      <calculatedColumnFormula>+SUMIFS(ExpenseTable[Amount],ExpenseTable[Paid From],Table410[[#This Row],[Paid From]],ExpenseTable[Mth],10)</calculatedColumnFormula>
    </tableColumn>
    <tableColumn id="13" xr3:uid="{C0421672-C6CB-45AC-9224-C47960D45390}" name="Nov" totalsRowFunction="sum" dataDxfId="38" totalsRowDxfId="37" dataCellStyle="Comma">
      <calculatedColumnFormula>+SUMIFS(ExpenseTable[Amount],ExpenseTable[Paid From],Table410[[#This Row],[Paid From]],ExpenseTable[Mth],11)</calculatedColumnFormula>
    </tableColumn>
    <tableColumn id="14" xr3:uid="{0DE9967C-14CA-4BD4-B11D-95D722E20AE8}" name="Dec" totalsRowFunction="sum" dataDxfId="36" totalsRowDxfId="35" dataCellStyle="Comma">
      <calculatedColumnFormula>+SUMIFS(ExpenseTable[Amount],ExpenseTable[Paid From],Table410[[#This Row],[Paid From]],ExpenseTable[Mth],12)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9F5762-6130-46D9-AECF-11361EDED92E}" name="Table41014" displayName="Table41014" ref="A1:P10" totalsRowCount="1" headerRowDxfId="34" dataDxfId="33">
  <autoFilter ref="A1:P9" xr:uid="{11EC80AB-0FE5-4E03-A051-7268FCCF1D06}"/>
  <sortState xmlns:xlrd2="http://schemas.microsoft.com/office/spreadsheetml/2017/richdata2" ref="A2:P9">
    <sortCondition ref="A2:A9"/>
  </sortState>
  <tableColumns count="16">
    <tableColumn id="1" xr3:uid="{8C532008-DCD9-437E-9D18-C25A952398F8}" name="Clients" totalsRowLabel="Totals" dataDxfId="32" totalsRowDxfId="31">
      <calculatedColumnFormula>+IF(Clients[[#This Row],[Clients]]="","",Clients[[#This Row],[Clients]])</calculatedColumnFormula>
    </tableColumn>
    <tableColumn id="16" xr3:uid="{D5B762ED-E82B-40FB-AA20-55710B0443E7}" name="Rank" dataDxfId="30" totalsRowDxfId="29">
      <calculatedColumnFormula>+RANK(Table41014[[#This Row],[Total]],Table41014[Total],0)</calculatedColumnFormula>
    </tableColumn>
    <tableColumn id="15" xr3:uid="{90AE9E79-6BAC-42EE-BE4A-EAA37DE9D435}" name="No. of Trans" totalsRowFunction="sum" dataDxfId="28" totalsRowDxfId="27">
      <calculatedColumnFormula>+COUNTIF(ExpenseTable[Client],Table41014[[#This Row],[Clients]])</calculatedColumnFormula>
    </tableColumn>
    <tableColumn id="2" xr3:uid="{DE169935-3751-4ECE-B269-EF193AE508A0}" name="Total" totalsRowFunction="sum" dataDxfId="26" totalsRowDxfId="25" dataCellStyle="Comma">
      <calculatedColumnFormula>+SUMIF(ExpenseTable[Client],Table41014[[#This Row],[Clients]],ExpenseTable[Amount])</calculatedColumnFormula>
    </tableColumn>
    <tableColumn id="3" xr3:uid="{6634EE70-6AFA-4DDC-B5CF-2ABFAE14B3F0}" name="Jan" totalsRowFunction="sum" dataDxfId="24" totalsRowDxfId="23" dataCellStyle="Comma">
      <calculatedColumnFormula>+SUMIFS(ExpenseTable[Amount],ExpenseTable[Client],Table41014[[#This Row],[Clients]],ExpenseTable[Mth],1)</calculatedColumnFormula>
    </tableColumn>
    <tableColumn id="4" xr3:uid="{3607DC39-2684-42C7-9209-F9655500FB69}" name="Feb" totalsRowFunction="sum" dataDxfId="22" totalsRowDxfId="21" dataCellStyle="Comma">
      <calculatedColumnFormula>+SUMIFS(ExpenseTable[Amount],ExpenseTable[Client],Table41014[[#This Row],[Clients]],ExpenseTable[Mth],2)</calculatedColumnFormula>
    </tableColumn>
    <tableColumn id="5" xr3:uid="{1C37D64A-3636-4AF5-B8DD-2DEF27374786}" name="Mar" totalsRowFunction="sum" dataDxfId="20" totalsRowDxfId="19" dataCellStyle="Comma">
      <calculatedColumnFormula>+SUMIFS(ExpenseTable[Amount],ExpenseTable[Client],Table41014[[#This Row],[Clients]],ExpenseTable[Mth],3)</calculatedColumnFormula>
    </tableColumn>
    <tableColumn id="6" xr3:uid="{6ACEC7E9-9094-46DB-856F-C14291D0CD7D}" name="Apr" totalsRowFunction="sum" dataDxfId="18" totalsRowDxfId="17" dataCellStyle="Comma">
      <calculatedColumnFormula>+SUMIFS(ExpenseTable[Amount],ExpenseTable[Client],Table41014[[#This Row],[Clients]],ExpenseTable[Mth],4)</calculatedColumnFormula>
    </tableColumn>
    <tableColumn id="7" xr3:uid="{956BC449-EF9A-4C30-8F74-471BF34E91B0}" name="May" totalsRowFunction="sum" dataDxfId="16" totalsRowDxfId="15" dataCellStyle="Comma">
      <calculatedColumnFormula>+SUMIFS(ExpenseTable[Amount],ExpenseTable[Paid From],Table41014[[#This Row],[Clients]],ExpenseTable[Mth],5)</calculatedColumnFormula>
    </tableColumn>
    <tableColumn id="8" xr3:uid="{75D33888-F9B2-49E6-98B7-6C2EBBB7917C}" name="Jun" totalsRowFunction="sum" dataDxfId="14" totalsRowDxfId="13" dataCellStyle="Comma">
      <calculatedColumnFormula>+SUMIFS(ExpenseTable[Amount],ExpenseTable[Client],Table41014[[#This Row],[Clients]],ExpenseTable[Mth],6)</calculatedColumnFormula>
    </tableColumn>
    <tableColumn id="9" xr3:uid="{3B14B8BC-5FEE-4906-901A-01468B5FD9EB}" name="Jul" totalsRowFunction="sum" dataDxfId="12" totalsRowDxfId="11" dataCellStyle="Comma">
      <calculatedColumnFormula>+SUMIFS(ExpenseTable[Amount],ExpenseTable[Client],Table41014[[#This Row],[Clients]],ExpenseTable[Mth],7)</calculatedColumnFormula>
    </tableColumn>
    <tableColumn id="10" xr3:uid="{DCF522EB-0B2B-483D-B752-D1A7CED5720B}" name="Aug" totalsRowFunction="sum" dataDxfId="10" totalsRowDxfId="9" dataCellStyle="Comma">
      <calculatedColumnFormula>+SUMIFS(ExpenseTable[Amount],ExpenseTable[Client],Table41014[[#This Row],[Clients]],ExpenseTable[Mth],8)</calculatedColumnFormula>
    </tableColumn>
    <tableColumn id="11" xr3:uid="{54437A15-DCCE-45F6-B458-4FB2736AE308}" name="Sep" totalsRowFunction="sum" dataDxfId="8" totalsRowDxfId="7" dataCellStyle="Comma">
      <calculatedColumnFormula>+SUMIFS(ExpenseTable[Amount],ExpenseTable[Client],Table41014[[#This Row],[Clients]],ExpenseTable[Mth],9)</calculatedColumnFormula>
    </tableColumn>
    <tableColumn id="12" xr3:uid="{4D34836E-21FF-451C-B202-ED1E3539796D}" name="Oct" totalsRowFunction="sum" dataDxfId="6" totalsRowDxfId="5" dataCellStyle="Comma">
      <calculatedColumnFormula>+SUMIFS(ExpenseTable[Amount],ExpenseTable[Client],Table41014[[#This Row],[Clients]],ExpenseTable[Mth],10)</calculatedColumnFormula>
    </tableColumn>
    <tableColumn id="13" xr3:uid="{2E9EB7F9-00DE-4235-ABAD-4260F829B741}" name="Nov" totalsRowFunction="sum" dataDxfId="4" totalsRowDxfId="3" dataCellStyle="Comma">
      <calculatedColumnFormula>+SUMIFS(ExpenseTable[Amount],ExpenseTable[Client],Table41014[[#This Row],[Clients]],ExpenseTable[Mth],11)</calculatedColumnFormula>
    </tableColumn>
    <tableColumn id="14" xr3:uid="{2DAE6472-DFBE-4727-9092-EE996F45CE8D}" name="Dec" totalsRowFunction="sum" dataDxfId="2" totalsRowDxfId="1" dataCellStyle="Comma">
      <calculatedColumnFormula>+SUMIFS(ExpenseTable[Amount],ExpenseTable[Client],Table41014[[#This Row],[Clients]],ExpenseTable[Mth],12)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AC7F1-5AC9-4C0A-B8CD-F3FFA3188E78}">
  <sheetPr codeName="Sheet1"/>
  <dimension ref="A1:G17"/>
  <sheetViews>
    <sheetView zoomScale="83" zoomScaleNormal="83" workbookViewId="0">
      <selection activeCell="E8" sqref="E8"/>
    </sheetView>
  </sheetViews>
  <sheetFormatPr defaultColWidth="9.1796875" defaultRowHeight="14" x14ac:dyDescent="0.3"/>
  <cols>
    <col min="1" max="1" width="9.1796875" style="46" bestFit="1" customWidth="1"/>
    <col min="2" max="2" width="15.1796875" style="45" customWidth="1"/>
    <col min="3" max="3" width="45.453125" style="45" customWidth="1"/>
    <col min="4" max="4" width="28.81640625" style="45" customWidth="1"/>
    <col min="5" max="5" width="16" style="45" customWidth="1"/>
    <col min="6" max="6" width="21.81640625" style="45" customWidth="1"/>
    <col min="7" max="7" width="16.7265625" style="45" bestFit="1" customWidth="1"/>
    <col min="8" max="16384" width="9.1796875" style="45"/>
  </cols>
  <sheetData>
    <row r="1" spans="1:7" ht="31" thickTop="1" thickBot="1" x14ac:dyDescent="0.35">
      <c r="A1" s="85" t="s">
        <v>110</v>
      </c>
      <c r="B1" s="86"/>
      <c r="C1" s="86"/>
      <c r="D1" s="86"/>
      <c r="E1" s="86"/>
      <c r="F1" s="86"/>
      <c r="G1" s="87"/>
    </row>
    <row r="2" spans="1:7" ht="1.5" customHeight="1" thickBot="1" x14ac:dyDescent="0.35">
      <c r="A2" s="63"/>
      <c r="B2" s="64"/>
      <c r="C2" s="64"/>
      <c r="D2" s="64"/>
      <c r="E2" s="64"/>
      <c r="F2" s="64"/>
      <c r="G2" s="65"/>
    </row>
    <row r="3" spans="1:7" s="52" customFormat="1" ht="30.5" thickBot="1" x14ac:dyDescent="0.35">
      <c r="A3" s="49"/>
      <c r="B3" s="62" t="s">
        <v>99</v>
      </c>
      <c r="C3" s="38" t="s">
        <v>1203</v>
      </c>
      <c r="D3" s="50"/>
      <c r="E3" s="61" t="s">
        <v>100</v>
      </c>
      <c r="F3" s="40">
        <v>45982</v>
      </c>
      <c r="G3" s="51"/>
    </row>
    <row r="4" spans="1:7" s="52" customFormat="1" ht="14.5" thickBot="1" x14ac:dyDescent="0.35">
      <c r="A4" s="49"/>
      <c r="B4" s="50"/>
      <c r="C4" s="50"/>
      <c r="D4" s="50"/>
      <c r="E4" s="50"/>
      <c r="F4" s="50"/>
      <c r="G4" s="51"/>
    </row>
    <row r="5" spans="1:7" s="58" customFormat="1" ht="16" thickTop="1" thickBot="1" x14ac:dyDescent="0.4">
      <c r="A5" s="59"/>
      <c r="B5" s="60" t="s">
        <v>102</v>
      </c>
      <c r="C5" s="39" t="s">
        <v>90</v>
      </c>
      <c r="D5" s="57"/>
      <c r="E5" s="60" t="s">
        <v>107</v>
      </c>
      <c r="F5" s="66" t="s">
        <v>108</v>
      </c>
      <c r="G5" s="70"/>
    </row>
    <row r="6" spans="1:7" s="52" customFormat="1" ht="14.5" thickTop="1" x14ac:dyDescent="0.3">
      <c r="A6" s="49"/>
      <c r="B6" s="50"/>
      <c r="C6" s="50"/>
      <c r="D6" s="50"/>
      <c r="E6" s="50"/>
      <c r="F6" s="50"/>
      <c r="G6" s="51"/>
    </row>
    <row r="7" spans="1:7" ht="37.5" customHeight="1" x14ac:dyDescent="0.3">
      <c r="A7" s="53" t="s">
        <v>101</v>
      </c>
      <c r="B7" s="54" t="s">
        <v>6</v>
      </c>
      <c r="C7" s="55" t="s">
        <v>1</v>
      </c>
      <c r="D7" s="55" t="s">
        <v>3</v>
      </c>
      <c r="E7" s="78" t="s">
        <v>2</v>
      </c>
      <c r="F7" s="55" t="s">
        <v>63</v>
      </c>
      <c r="G7" s="56" t="s">
        <v>64</v>
      </c>
    </row>
    <row r="8" spans="1:7" s="47" customFormat="1" ht="20" customHeight="1" x14ac:dyDescent="0.35">
      <c r="A8" s="48">
        <v>1</v>
      </c>
      <c r="B8" s="35">
        <v>45982</v>
      </c>
      <c r="C8" s="36" t="s">
        <v>1210</v>
      </c>
      <c r="D8" s="36" t="s">
        <v>21</v>
      </c>
      <c r="E8" s="81">
        <v>1300</v>
      </c>
      <c r="F8" s="36" t="s">
        <v>72</v>
      </c>
      <c r="G8" s="84" t="s">
        <v>73</v>
      </c>
    </row>
    <row r="9" spans="1:7" s="47" customFormat="1" ht="20" customHeight="1" x14ac:dyDescent="0.35">
      <c r="A9" s="48">
        <v>2</v>
      </c>
      <c r="B9" s="82">
        <v>45982</v>
      </c>
      <c r="C9" s="35" t="s">
        <v>1205</v>
      </c>
      <c r="D9" s="36" t="s">
        <v>5</v>
      </c>
      <c r="E9" s="79">
        <v>2500</v>
      </c>
      <c r="F9" s="36" t="s">
        <v>72</v>
      </c>
      <c r="G9" s="36" t="s">
        <v>73</v>
      </c>
    </row>
    <row r="10" spans="1:7" s="47" customFormat="1" ht="20" customHeight="1" x14ac:dyDescent="0.35">
      <c r="A10" s="48">
        <v>3</v>
      </c>
      <c r="B10" s="35">
        <v>45982</v>
      </c>
      <c r="C10" s="36" t="s">
        <v>1206</v>
      </c>
      <c r="D10" s="36" t="s">
        <v>5</v>
      </c>
      <c r="E10" s="80">
        <v>3000</v>
      </c>
      <c r="F10" s="36" t="s">
        <v>72</v>
      </c>
      <c r="G10" s="36" t="s">
        <v>73</v>
      </c>
    </row>
    <row r="11" spans="1:7" s="47" customFormat="1" ht="20" customHeight="1" x14ac:dyDescent="0.35">
      <c r="A11" s="48">
        <v>4</v>
      </c>
      <c r="B11" s="35">
        <v>45981</v>
      </c>
      <c r="C11" s="36" t="s">
        <v>1209</v>
      </c>
      <c r="D11" s="36" t="s">
        <v>21</v>
      </c>
      <c r="E11" s="83">
        <v>4000</v>
      </c>
      <c r="F11" s="36" t="s">
        <v>72</v>
      </c>
      <c r="G11" s="36" t="s">
        <v>73</v>
      </c>
    </row>
    <row r="12" spans="1:7" s="47" customFormat="1" ht="20" customHeight="1" x14ac:dyDescent="0.35">
      <c r="A12" s="48">
        <v>5</v>
      </c>
      <c r="B12" s="35">
        <v>45982</v>
      </c>
      <c r="C12" s="36" t="s">
        <v>1207</v>
      </c>
      <c r="D12" s="36" t="s">
        <v>21</v>
      </c>
      <c r="E12" s="80">
        <v>5300</v>
      </c>
      <c r="F12" s="36" t="s">
        <v>72</v>
      </c>
      <c r="G12" s="36" t="s">
        <v>73</v>
      </c>
    </row>
    <row r="13" spans="1:7" s="47" customFormat="1" ht="20" customHeight="1" x14ac:dyDescent="0.35">
      <c r="A13" s="48">
        <v>6</v>
      </c>
      <c r="B13" s="82">
        <v>45982</v>
      </c>
      <c r="C13" s="35" t="s">
        <v>1204</v>
      </c>
      <c r="D13" s="36" t="s">
        <v>5</v>
      </c>
      <c r="E13" s="79">
        <v>8000</v>
      </c>
      <c r="F13" s="36" t="s">
        <v>72</v>
      </c>
      <c r="G13" s="84" t="s">
        <v>73</v>
      </c>
    </row>
    <row r="14" spans="1:7" s="47" customFormat="1" ht="20" customHeight="1" x14ac:dyDescent="0.35">
      <c r="A14" s="48">
        <v>7</v>
      </c>
      <c r="B14" s="35">
        <v>45982</v>
      </c>
      <c r="C14" s="36" t="s">
        <v>1378</v>
      </c>
      <c r="D14" s="36" t="s">
        <v>5</v>
      </c>
      <c r="E14" s="83">
        <v>12000</v>
      </c>
      <c r="F14" s="36" t="s">
        <v>72</v>
      </c>
      <c r="G14" s="36" t="s">
        <v>73</v>
      </c>
    </row>
    <row r="15" spans="1:7" s="47" customFormat="1" ht="20" customHeight="1" x14ac:dyDescent="0.35">
      <c r="A15" s="48">
        <v>8</v>
      </c>
      <c r="B15" s="35">
        <v>45981</v>
      </c>
      <c r="C15" s="36" t="s">
        <v>1208</v>
      </c>
      <c r="D15" s="36" t="s">
        <v>27</v>
      </c>
      <c r="E15" s="83">
        <v>15700</v>
      </c>
      <c r="F15" s="36" t="s">
        <v>72</v>
      </c>
      <c r="G15" s="36" t="s">
        <v>73</v>
      </c>
    </row>
    <row r="16" spans="1:7" ht="33" customHeight="1" thickBot="1" x14ac:dyDescent="0.35">
      <c r="A16" s="41" t="s">
        <v>51</v>
      </c>
      <c r="B16" s="42"/>
      <c r="C16" s="42"/>
      <c r="D16" s="42"/>
      <c r="E16" s="43">
        <f>SUBTOTAL(109,Table11[Amount])</f>
        <v>51800</v>
      </c>
      <c r="F16" s="42"/>
      <c r="G16" s="44"/>
    </row>
    <row r="17" ht="14.5" thickTop="1" x14ac:dyDescent="0.3"/>
  </sheetData>
  <sheetProtection algorithmName="SHA-512" hashValue="72el87Frmw76lT4heTooOYhJksEpdp8Z59F6DJ+6iWlvcNv2E6BWEem2pMACbgUWJHty6cyY8JLK1UrKrA3gWg==" saltValue="bdQf/fW4BBi8LFEPkHud9A==" spinCount="100000" sheet="1" deleteColumns="0" selectLockedCells="1"/>
  <mergeCells count="1">
    <mergeCell ref="A1:G1"/>
  </mergeCells>
  <phoneticPr fontId="3" type="noConversion"/>
  <dataValidations count="2">
    <dataValidation type="textLength" allowBlank="1" showInputMessage="1" showErrorMessage="1" sqref="G5" xr:uid="{217B80C7-3DBC-413C-96BD-00046B494148}">
      <formula1>1</formula1>
      <formula2>100</formula2>
    </dataValidation>
    <dataValidation type="textLength" allowBlank="1" showInputMessage="1" showErrorMessage="1" sqref="C13 C9" xr:uid="{8EF386F8-5C13-49AD-A09A-0DFBE6A1937E}">
      <formula1>10</formula1>
      <formula2>250</formula2>
    </dataValidation>
  </dataValidations>
  <pageMargins left="0.7" right="0.7" top="0.75" bottom="0.75" header="0.3" footer="0.3"/>
  <pageSetup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locked="0" defaultSize="0" print="0" autoFill="0" autoPict="0" macro="[0]!SubmitVoucherEntry">
                <anchor>
                  <from>
                    <xdr:col>7</xdr:col>
                    <xdr:colOff>298450</xdr:colOff>
                    <xdr:row>2</xdr:row>
                    <xdr:rowOff>241300</xdr:rowOff>
                  </from>
                  <to>
                    <xdr:col>8</xdr:col>
                    <xdr:colOff>546100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locked="0" defaultSize="0" print="0" autoFill="0" autoPict="0" macro="[0]!ClearVoucherEntry">
                <anchor>
                  <from>
                    <xdr:col>7</xdr:col>
                    <xdr:colOff>298450</xdr:colOff>
                    <xdr:row>9</xdr:row>
                    <xdr:rowOff>82550</xdr:rowOff>
                  </from>
                  <to>
                    <xdr:col>8</xdr:col>
                    <xdr:colOff>546100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Button 24">
              <controlPr defaultSize="0" print="0" autoFill="0" autoPict="0" macro="[0]!LoadVoucherEntries">
                <anchor>
                  <from>
                    <xdr:col>7</xdr:col>
                    <xdr:colOff>279400</xdr:colOff>
                    <xdr:row>5</xdr:row>
                    <xdr:rowOff>31750</xdr:rowOff>
                  </from>
                  <to>
                    <xdr:col>8</xdr:col>
                    <xdr:colOff>552450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Button 25">
              <controlPr locked="0" defaultSize="0" print="0" autoFill="0" autoPict="0" macro="[0]!DecrementVoucherNumber">
                <anchor moveWithCells="1" sizeWithCells="1">
                  <from>
                    <xdr:col>3</xdr:col>
                    <xdr:colOff>76200</xdr:colOff>
                    <xdr:row>2</xdr:row>
                    <xdr:rowOff>50800</xdr:rowOff>
                  </from>
                  <to>
                    <xdr:col>3</xdr:col>
                    <xdr:colOff>508000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locked="0" defaultSize="0" print="0" autoFill="0" autoPict="0" macro="[0]!IncrementVoucherNumber">
                <anchor moveWithCells="1" sizeWithCells="1">
                  <from>
                    <xdr:col>3</xdr:col>
                    <xdr:colOff>571500</xdr:colOff>
                    <xdr:row>2</xdr:row>
                    <xdr:rowOff>50800</xdr:rowOff>
                  </from>
                  <to>
                    <xdr:col>3</xdr:col>
                    <xdr:colOff>971550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9" name="Button 34">
              <controlPr locked="0" defaultSize="0" print="0" autoFill="0" autoPict="0" macro="[0]!DeleteVoucherEntries">
                <anchor>
                  <from>
                    <xdr:col>7</xdr:col>
                    <xdr:colOff>285750</xdr:colOff>
                    <xdr:row>6</xdr:row>
                    <xdr:rowOff>457200</xdr:rowOff>
                  </from>
                  <to>
                    <xdr:col>8</xdr:col>
                    <xdr:colOff>546100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F15D96-381B-4828-ABCA-318589A09E6D}">
          <x14:formula1>
            <xm:f>Variables!$E$2:$E$9</xm:f>
          </x14:formula1>
          <xm:sqref>C5</xm:sqref>
        </x14:dataValidation>
        <x14:dataValidation type="list" allowBlank="1" showInputMessage="1" showErrorMessage="1" xr:uid="{D1FADCAC-D879-49A9-A539-2759E5026E89}">
          <x14:formula1>
            <xm:f>Variables!$K:$K</xm:f>
          </x14:formula1>
          <xm:sqref>C3</xm:sqref>
        </x14:dataValidation>
        <x14:dataValidation type="list" allowBlank="1" showInputMessage="1" showErrorMessage="1" xr:uid="{CC14C584-42C8-4FB9-85C2-4C0B80539517}">
          <x14:formula1>
            <xm:f>Variables!$J$13:$J$15</xm:f>
          </x14:formula1>
          <xm:sqref>F5</xm:sqref>
        </x14:dataValidation>
        <x14:dataValidation type="list" allowBlank="1" showInputMessage="1" showErrorMessage="1" xr:uid="{229905D2-0FCD-4204-8418-CBE32229906B}">
          <x14:formula1>
            <xm:f>Variables!$F$2:$F$12</xm:f>
          </x14:formula1>
          <xm:sqref>F8 F13</xm:sqref>
        </x14:dataValidation>
        <x14:dataValidation type="list" allowBlank="1" showInputMessage="1" showErrorMessage="1" xr:uid="{2CEB1E5B-A620-4932-97AC-39815525C1D4}">
          <x14:formula1>
            <xm:f>Variables!$G$2:$G$12</xm:f>
          </x14:formula1>
          <xm:sqref>G8 G13</xm:sqref>
        </x14:dataValidation>
        <x14:dataValidation type="list" allowBlank="1" showInputMessage="1" showErrorMessage="1" xr:uid="{AD4C4D66-7DC7-454E-B5BC-487EDD059809}">
          <x14:formula1>
            <xm:f>Variables!$C$2:$C$48</xm:f>
          </x14:formula1>
          <xm:sqref>D10 D13 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C3BC-FFD7-4CFC-AE39-A064F1C4B01B}">
  <sheetPr codeName="Sheet3"/>
  <dimension ref="A1:K1047491"/>
  <sheetViews>
    <sheetView tabSelected="1" topLeftCell="A743" zoomScale="98" zoomScaleNormal="98" workbookViewId="0">
      <selection activeCell="C745" sqref="C745"/>
    </sheetView>
  </sheetViews>
  <sheetFormatPr defaultRowHeight="14.5" x14ac:dyDescent="0.35"/>
  <cols>
    <col min="1" max="1" width="16.7265625" style="26" bestFit="1" customWidth="1"/>
    <col min="2" max="2" width="15.453125" style="9" bestFit="1" customWidth="1"/>
    <col min="3" max="3" width="15.453125" style="22" bestFit="1" customWidth="1"/>
    <col min="4" max="4" width="36.54296875" style="14" customWidth="1"/>
    <col min="5" max="5" width="13.7265625" style="25" bestFit="1" customWidth="1"/>
    <col min="6" max="6" width="27.54296875" style="5" bestFit="1" customWidth="1"/>
    <col min="7" max="7" width="11.81640625" style="5" bestFit="1" customWidth="1"/>
    <col min="8" max="8" width="12.1796875" style="5" bestFit="1" customWidth="1"/>
    <col min="9" max="9" width="29.26953125" style="28" customWidth="1"/>
    <col min="10" max="10" width="9.81640625" style="67" customWidth="1"/>
    <col min="11" max="11" width="12.453125" style="67" bestFit="1" customWidth="1"/>
  </cols>
  <sheetData>
    <row r="1" spans="1:11" x14ac:dyDescent="0.35">
      <c r="D1" s="14" t="s">
        <v>51</v>
      </c>
      <c r="E1" s="24">
        <f>SUM(ExpenseTable[Amount])</f>
        <v>169930644.40000004</v>
      </c>
    </row>
    <row r="2" spans="1:11" ht="19.5" customHeight="1" x14ac:dyDescent="0.35">
      <c r="C2" s="77"/>
      <c r="D2" s="88"/>
      <c r="E2" s="88"/>
      <c r="F2" s="88"/>
    </row>
    <row r="3" spans="1:11" x14ac:dyDescent="0.35">
      <c r="A3" s="27" t="s">
        <v>6</v>
      </c>
      <c r="B3" s="9" t="s">
        <v>61</v>
      </c>
      <c r="C3" s="22" t="s">
        <v>62</v>
      </c>
      <c r="D3" s="23" t="s">
        <v>1</v>
      </c>
      <c r="E3" s="37" t="s">
        <v>2</v>
      </c>
      <c r="F3" s="20" t="s">
        <v>3</v>
      </c>
      <c r="G3" s="20" t="s">
        <v>63</v>
      </c>
      <c r="H3" s="20" t="s">
        <v>64</v>
      </c>
      <c r="I3" s="29" t="s">
        <v>70</v>
      </c>
      <c r="J3" s="7" t="s">
        <v>53</v>
      </c>
      <c r="K3" s="7" t="s">
        <v>115</v>
      </c>
    </row>
    <row r="4" spans="1:11" x14ac:dyDescent="0.35">
      <c r="A4" s="15">
        <v>45659</v>
      </c>
      <c r="B4" s="11" t="s">
        <v>116</v>
      </c>
      <c r="C4" s="19">
        <v>45659</v>
      </c>
      <c r="D4" s="13" t="s">
        <v>117</v>
      </c>
      <c r="E4" s="12">
        <v>2850</v>
      </c>
      <c r="F4" s="21" t="s">
        <v>54</v>
      </c>
      <c r="G4" s="21" t="s">
        <v>66</v>
      </c>
      <c r="H4" s="21" t="s">
        <v>68</v>
      </c>
      <c r="I4" s="21" t="s">
        <v>91</v>
      </c>
      <c r="J4" s="68">
        <f>+MONTH(ExpenseTable[[#This Row],[Voucher Date]])</f>
        <v>1</v>
      </c>
      <c r="K4" s="68" t="s">
        <v>71</v>
      </c>
    </row>
    <row r="5" spans="1:11" x14ac:dyDescent="0.35">
      <c r="A5" s="15">
        <v>45659</v>
      </c>
      <c r="B5" s="11" t="s">
        <v>116</v>
      </c>
      <c r="C5" s="19">
        <v>45659</v>
      </c>
      <c r="D5" s="13" t="s">
        <v>118</v>
      </c>
      <c r="E5" s="12">
        <v>102150</v>
      </c>
      <c r="F5" s="21" t="s">
        <v>57</v>
      </c>
      <c r="G5" s="21" t="s">
        <v>66</v>
      </c>
      <c r="H5" s="21" t="s">
        <v>68</v>
      </c>
      <c r="I5" s="21" t="s">
        <v>91</v>
      </c>
      <c r="J5" s="68">
        <f>+MONTH(ExpenseTable[[#This Row],[Voucher Date]])</f>
        <v>1</v>
      </c>
      <c r="K5" s="68" t="s">
        <v>71</v>
      </c>
    </row>
    <row r="6" spans="1:11" x14ac:dyDescent="0.35">
      <c r="A6" s="15">
        <v>45665</v>
      </c>
      <c r="B6" s="11" t="s">
        <v>119</v>
      </c>
      <c r="C6" s="19">
        <v>45663</v>
      </c>
      <c r="D6" s="13" t="s">
        <v>120</v>
      </c>
      <c r="E6" s="12">
        <v>2000</v>
      </c>
      <c r="F6" s="21" t="s">
        <v>34</v>
      </c>
      <c r="G6" s="21" t="s">
        <v>72</v>
      </c>
      <c r="H6" s="21" t="s">
        <v>73</v>
      </c>
      <c r="I6" s="21" t="s">
        <v>90</v>
      </c>
      <c r="J6" s="68">
        <f>+MONTH(ExpenseTable[[#This Row],[Voucher Date]])</f>
        <v>1</v>
      </c>
      <c r="K6" s="68" t="s">
        <v>71</v>
      </c>
    </row>
    <row r="7" spans="1:11" x14ac:dyDescent="0.35">
      <c r="A7" s="15">
        <v>45664</v>
      </c>
      <c r="B7" s="11" t="s">
        <v>119</v>
      </c>
      <c r="C7" s="19">
        <v>45663</v>
      </c>
      <c r="D7" s="13" t="s">
        <v>117</v>
      </c>
      <c r="E7" s="12">
        <v>2600</v>
      </c>
      <c r="F7" s="21" t="s">
        <v>54</v>
      </c>
      <c r="G7" s="21" t="s">
        <v>66</v>
      </c>
      <c r="H7" s="21" t="s">
        <v>68</v>
      </c>
      <c r="I7" s="21" t="s">
        <v>90</v>
      </c>
      <c r="J7" s="68">
        <f>+MONTH(ExpenseTable[[#This Row],[Voucher Date]])</f>
        <v>1</v>
      </c>
      <c r="K7" s="68" t="s">
        <v>71</v>
      </c>
    </row>
    <row r="8" spans="1:11" x14ac:dyDescent="0.35">
      <c r="A8" s="15">
        <v>45663</v>
      </c>
      <c r="B8" s="11" t="s">
        <v>119</v>
      </c>
      <c r="C8" s="19">
        <v>45663</v>
      </c>
      <c r="D8" s="13" t="s">
        <v>121</v>
      </c>
      <c r="E8" s="12">
        <v>3000</v>
      </c>
      <c r="F8" s="21" t="s">
        <v>27</v>
      </c>
      <c r="G8" s="21" t="s">
        <v>72</v>
      </c>
      <c r="H8" s="21" t="s">
        <v>73</v>
      </c>
      <c r="I8" s="21" t="s">
        <v>90</v>
      </c>
      <c r="J8" s="68">
        <f>+MONTH(ExpenseTable[[#This Row],[Voucher Date]])</f>
        <v>1</v>
      </c>
      <c r="K8" s="68" t="s">
        <v>71</v>
      </c>
    </row>
    <row r="9" spans="1:11" x14ac:dyDescent="0.35">
      <c r="A9" s="15">
        <v>45663</v>
      </c>
      <c r="B9" s="11" t="s">
        <v>119</v>
      </c>
      <c r="C9" s="19">
        <v>45663</v>
      </c>
      <c r="D9" s="13" t="s">
        <v>117</v>
      </c>
      <c r="E9" s="12">
        <v>3000</v>
      </c>
      <c r="F9" s="21" t="s">
        <v>54</v>
      </c>
      <c r="G9" s="21" t="s">
        <v>66</v>
      </c>
      <c r="H9" s="21" t="s">
        <v>68</v>
      </c>
      <c r="I9" s="21" t="s">
        <v>90</v>
      </c>
      <c r="J9" s="68">
        <f>+MONTH(ExpenseTable[[#This Row],[Voucher Date]])</f>
        <v>1</v>
      </c>
      <c r="K9" s="68" t="s">
        <v>71</v>
      </c>
    </row>
    <row r="10" spans="1:11" x14ac:dyDescent="0.35">
      <c r="A10" s="15">
        <v>45664</v>
      </c>
      <c r="B10" s="11" t="s">
        <v>119</v>
      </c>
      <c r="C10" s="19">
        <v>45663</v>
      </c>
      <c r="D10" s="13" t="s">
        <v>117</v>
      </c>
      <c r="E10" s="12">
        <v>3000</v>
      </c>
      <c r="F10" s="21" t="s">
        <v>54</v>
      </c>
      <c r="G10" s="21" t="s">
        <v>66</v>
      </c>
      <c r="H10" s="21" t="s">
        <v>68</v>
      </c>
      <c r="I10" s="21" t="s">
        <v>90</v>
      </c>
      <c r="J10" s="68">
        <f>+MONTH(ExpenseTable[[#This Row],[Voucher Date]])</f>
        <v>1</v>
      </c>
      <c r="K10" s="68" t="s">
        <v>71</v>
      </c>
    </row>
    <row r="11" spans="1:11" x14ac:dyDescent="0.35">
      <c r="A11" s="15">
        <v>45660</v>
      </c>
      <c r="B11" s="11" t="s">
        <v>119</v>
      </c>
      <c r="C11" s="19">
        <v>45663</v>
      </c>
      <c r="D11" s="13" t="s">
        <v>117</v>
      </c>
      <c r="E11" s="12">
        <v>3650</v>
      </c>
      <c r="F11" s="21" t="s">
        <v>54</v>
      </c>
      <c r="G11" s="21" t="s">
        <v>66</v>
      </c>
      <c r="H11" s="21" t="s">
        <v>68</v>
      </c>
      <c r="I11" s="21" t="s">
        <v>90</v>
      </c>
      <c r="J11" s="68">
        <f>+MONTH(ExpenseTable[[#This Row],[Voucher Date]])</f>
        <v>1</v>
      </c>
      <c r="K11" s="68" t="s">
        <v>71</v>
      </c>
    </row>
    <row r="12" spans="1:11" x14ac:dyDescent="0.35">
      <c r="A12" s="15">
        <v>45665</v>
      </c>
      <c r="B12" s="11" t="s">
        <v>119</v>
      </c>
      <c r="C12" s="19">
        <v>45663</v>
      </c>
      <c r="D12" s="13" t="s">
        <v>117</v>
      </c>
      <c r="E12" s="12">
        <v>5250</v>
      </c>
      <c r="F12" s="21" t="s">
        <v>54</v>
      </c>
      <c r="G12" s="21" t="s">
        <v>66</v>
      </c>
      <c r="H12" s="21" t="s">
        <v>68</v>
      </c>
      <c r="I12" s="21" t="s">
        <v>90</v>
      </c>
      <c r="J12" s="68">
        <f>+MONTH(ExpenseTable[[#This Row],[Voucher Date]])</f>
        <v>1</v>
      </c>
      <c r="K12" s="68" t="s">
        <v>71</v>
      </c>
    </row>
    <row r="13" spans="1:11" x14ac:dyDescent="0.35">
      <c r="A13" s="15">
        <v>45664</v>
      </c>
      <c r="B13" s="11" t="s">
        <v>119</v>
      </c>
      <c r="C13" s="19">
        <v>45663</v>
      </c>
      <c r="D13" s="13" t="s">
        <v>122</v>
      </c>
      <c r="E13" s="12">
        <v>6100</v>
      </c>
      <c r="F13" s="21" t="s">
        <v>27</v>
      </c>
      <c r="G13" s="21" t="s">
        <v>72</v>
      </c>
      <c r="H13" s="21" t="s">
        <v>73</v>
      </c>
      <c r="I13" s="21" t="s">
        <v>90</v>
      </c>
      <c r="J13" s="68">
        <f>+MONTH(ExpenseTable[[#This Row],[Voucher Date]])</f>
        <v>1</v>
      </c>
      <c r="K13" s="68" t="s">
        <v>71</v>
      </c>
    </row>
    <row r="14" spans="1:11" x14ac:dyDescent="0.35">
      <c r="A14" s="15">
        <v>45664</v>
      </c>
      <c r="B14" s="11" t="s">
        <v>842</v>
      </c>
      <c r="C14" s="19">
        <v>45663</v>
      </c>
      <c r="D14" s="13" t="s">
        <v>128</v>
      </c>
      <c r="E14" s="12">
        <v>11500</v>
      </c>
      <c r="F14" s="21" t="s">
        <v>4</v>
      </c>
      <c r="G14" s="21" t="s">
        <v>72</v>
      </c>
      <c r="H14" s="21" t="s">
        <v>73</v>
      </c>
      <c r="I14" s="21" t="s">
        <v>1123</v>
      </c>
      <c r="J14" s="68">
        <f>+MONTH(ExpenseTable[[#This Row],[Voucher Date]])</f>
        <v>1</v>
      </c>
      <c r="K14" s="68" t="s">
        <v>71</v>
      </c>
    </row>
    <row r="15" spans="1:11" x14ac:dyDescent="0.35">
      <c r="A15" s="15">
        <v>45677</v>
      </c>
      <c r="B15" s="11" t="s">
        <v>842</v>
      </c>
      <c r="C15" s="19">
        <v>45663</v>
      </c>
      <c r="D15" s="13" t="s">
        <v>127</v>
      </c>
      <c r="E15" s="12">
        <v>35000</v>
      </c>
      <c r="F15" s="21" t="s">
        <v>22</v>
      </c>
      <c r="G15" s="21" t="s">
        <v>72</v>
      </c>
      <c r="H15" s="21" t="s">
        <v>73</v>
      </c>
      <c r="I15" s="21" t="s">
        <v>1123</v>
      </c>
      <c r="J15" s="68">
        <f>+MONTH(ExpenseTable[[#This Row],[Voucher Date]])</f>
        <v>1</v>
      </c>
      <c r="K15" s="68" t="s">
        <v>71</v>
      </c>
    </row>
    <row r="16" spans="1:11" x14ac:dyDescent="0.35">
      <c r="A16" s="15">
        <v>45674</v>
      </c>
      <c r="B16" s="11" t="s">
        <v>842</v>
      </c>
      <c r="C16" s="19">
        <v>45663</v>
      </c>
      <c r="D16" s="13" t="s">
        <v>186</v>
      </c>
      <c r="E16" s="12">
        <v>35921</v>
      </c>
      <c r="F16" s="21" t="s">
        <v>33</v>
      </c>
      <c r="G16" s="21" t="s">
        <v>72</v>
      </c>
      <c r="H16" s="21" t="s">
        <v>73</v>
      </c>
      <c r="I16" s="21" t="s">
        <v>1123</v>
      </c>
      <c r="J16" s="68">
        <f>+MONTH(ExpenseTable[[#This Row],[Voucher Date]])</f>
        <v>1</v>
      </c>
      <c r="K16" s="68" t="s">
        <v>71</v>
      </c>
    </row>
    <row r="17" spans="1:11" x14ac:dyDescent="0.35">
      <c r="A17" s="15">
        <v>45674</v>
      </c>
      <c r="B17" s="11" t="s">
        <v>842</v>
      </c>
      <c r="C17" s="19">
        <v>45663</v>
      </c>
      <c r="D17" s="13" t="s">
        <v>129</v>
      </c>
      <c r="E17" s="12">
        <v>60000</v>
      </c>
      <c r="F17" s="21" t="s">
        <v>40</v>
      </c>
      <c r="G17" s="21" t="s">
        <v>72</v>
      </c>
      <c r="H17" s="21" t="s">
        <v>73</v>
      </c>
      <c r="I17" s="21" t="s">
        <v>1123</v>
      </c>
      <c r="J17" s="68">
        <f>+MONTH(ExpenseTable[[#This Row],[Voucher Date]])</f>
        <v>1</v>
      </c>
      <c r="K17" s="68" t="s">
        <v>71</v>
      </c>
    </row>
    <row r="18" spans="1:11" x14ac:dyDescent="0.35">
      <c r="A18" s="15">
        <v>45677</v>
      </c>
      <c r="B18" s="11" t="s">
        <v>842</v>
      </c>
      <c r="C18" s="19">
        <v>45663</v>
      </c>
      <c r="D18" s="13" t="s">
        <v>125</v>
      </c>
      <c r="E18" s="12">
        <v>85000</v>
      </c>
      <c r="F18" s="21" t="s">
        <v>5</v>
      </c>
      <c r="G18" s="21" t="s">
        <v>72</v>
      </c>
      <c r="H18" s="21" t="s">
        <v>73</v>
      </c>
      <c r="I18" s="21" t="s">
        <v>1123</v>
      </c>
      <c r="J18" s="68">
        <f>+MONTH(ExpenseTable[[#This Row],[Voucher Date]])</f>
        <v>1</v>
      </c>
      <c r="K18" s="68" t="s">
        <v>71</v>
      </c>
    </row>
    <row r="19" spans="1:11" x14ac:dyDescent="0.35">
      <c r="A19" s="15">
        <v>45661</v>
      </c>
      <c r="B19" s="11" t="s">
        <v>842</v>
      </c>
      <c r="C19" s="19">
        <v>45663</v>
      </c>
      <c r="D19" s="13" t="s">
        <v>126</v>
      </c>
      <c r="E19" s="12">
        <v>101400</v>
      </c>
      <c r="F19" s="21" t="s">
        <v>22</v>
      </c>
      <c r="G19" s="21" t="s">
        <v>72</v>
      </c>
      <c r="H19" s="21" t="s">
        <v>73</v>
      </c>
      <c r="I19" s="21" t="s">
        <v>1123</v>
      </c>
      <c r="J19" s="68">
        <f>+MONTH(ExpenseTable[[#This Row],[Voucher Date]])</f>
        <v>1</v>
      </c>
      <c r="K19" s="68" t="s">
        <v>71</v>
      </c>
    </row>
    <row r="20" spans="1:11" x14ac:dyDescent="0.35">
      <c r="A20" s="15">
        <v>45666</v>
      </c>
      <c r="B20" s="11" t="s">
        <v>842</v>
      </c>
      <c r="C20" s="19">
        <v>45663</v>
      </c>
      <c r="D20" s="13" t="s">
        <v>130</v>
      </c>
      <c r="E20" s="12">
        <v>110000</v>
      </c>
      <c r="F20" s="21" t="s">
        <v>57</v>
      </c>
      <c r="G20" s="21" t="s">
        <v>66</v>
      </c>
      <c r="H20" s="21" t="s">
        <v>68</v>
      </c>
      <c r="I20" s="21" t="s">
        <v>1123</v>
      </c>
      <c r="J20" s="68">
        <f>+MONTH(ExpenseTable[[#This Row],[Voucher Date]])</f>
        <v>1</v>
      </c>
      <c r="K20" s="68" t="s">
        <v>71</v>
      </c>
    </row>
    <row r="21" spans="1:11" x14ac:dyDescent="0.35">
      <c r="A21" s="15">
        <v>45663</v>
      </c>
      <c r="B21" s="11" t="s">
        <v>842</v>
      </c>
      <c r="C21" s="19">
        <v>45663</v>
      </c>
      <c r="D21" s="13" t="s">
        <v>123</v>
      </c>
      <c r="E21" s="12">
        <v>276600</v>
      </c>
      <c r="F21" s="21" t="s">
        <v>54</v>
      </c>
      <c r="G21" s="21" t="s">
        <v>66</v>
      </c>
      <c r="H21" s="21" t="s">
        <v>68</v>
      </c>
      <c r="I21" s="21" t="s">
        <v>1123</v>
      </c>
      <c r="J21" s="68">
        <f>+MONTH(ExpenseTable[[#This Row],[Voucher Date]])</f>
        <v>1</v>
      </c>
      <c r="K21" s="68" t="s">
        <v>71</v>
      </c>
    </row>
    <row r="22" spans="1:11" x14ac:dyDescent="0.35">
      <c r="A22" s="15">
        <v>45665</v>
      </c>
      <c r="B22" s="11" t="s">
        <v>131</v>
      </c>
      <c r="C22" s="19">
        <v>45664</v>
      </c>
      <c r="D22" s="13" t="s">
        <v>134</v>
      </c>
      <c r="E22" s="12">
        <v>5000</v>
      </c>
      <c r="F22" s="21" t="s">
        <v>57</v>
      </c>
      <c r="G22" s="21" t="s">
        <v>72</v>
      </c>
      <c r="H22" s="21" t="s">
        <v>73</v>
      </c>
      <c r="I22" s="21" t="s">
        <v>90</v>
      </c>
      <c r="J22" s="68">
        <f>+MONTH(ExpenseTable[[#This Row],[Voucher Date]])</f>
        <v>1</v>
      </c>
      <c r="K22" s="68" t="s">
        <v>71</v>
      </c>
    </row>
    <row r="23" spans="1:11" x14ac:dyDescent="0.35">
      <c r="A23" s="15">
        <v>45664</v>
      </c>
      <c r="B23" s="11" t="s">
        <v>131</v>
      </c>
      <c r="C23" s="19">
        <v>45664</v>
      </c>
      <c r="D23" s="13" t="s">
        <v>133</v>
      </c>
      <c r="E23" s="12">
        <v>20000</v>
      </c>
      <c r="F23" s="21" t="s">
        <v>32</v>
      </c>
      <c r="G23" s="21" t="s">
        <v>72</v>
      </c>
      <c r="H23" s="21" t="s">
        <v>73</v>
      </c>
      <c r="I23" s="21" t="s">
        <v>90</v>
      </c>
      <c r="J23" s="68">
        <f>+MONTH(ExpenseTable[[#This Row],[Voucher Date]])</f>
        <v>1</v>
      </c>
      <c r="K23" s="68" t="s">
        <v>71</v>
      </c>
    </row>
    <row r="24" spans="1:11" x14ac:dyDescent="0.35">
      <c r="A24" s="15">
        <v>45672</v>
      </c>
      <c r="B24" s="11" t="s">
        <v>131</v>
      </c>
      <c r="C24" s="19">
        <v>45664</v>
      </c>
      <c r="D24" s="13" t="s">
        <v>133</v>
      </c>
      <c r="E24" s="12">
        <v>20000</v>
      </c>
      <c r="F24" s="21" t="s">
        <v>32</v>
      </c>
      <c r="G24" s="21" t="s">
        <v>72</v>
      </c>
      <c r="H24" s="21" t="s">
        <v>73</v>
      </c>
      <c r="I24" s="21" t="s">
        <v>90</v>
      </c>
      <c r="J24" s="68">
        <f>+MONTH(ExpenseTable[[#This Row],[Voucher Date]])</f>
        <v>1</v>
      </c>
      <c r="K24" s="68" t="s">
        <v>71</v>
      </c>
    </row>
    <row r="25" spans="1:11" x14ac:dyDescent="0.35">
      <c r="A25" s="15">
        <v>45674</v>
      </c>
      <c r="B25" s="11" t="s">
        <v>131</v>
      </c>
      <c r="C25" s="19">
        <v>45664</v>
      </c>
      <c r="D25" s="13" t="s">
        <v>133</v>
      </c>
      <c r="E25" s="12">
        <v>20000</v>
      </c>
      <c r="F25" s="21" t="s">
        <v>32</v>
      </c>
      <c r="G25" s="21" t="s">
        <v>72</v>
      </c>
      <c r="H25" s="21" t="s">
        <v>73</v>
      </c>
      <c r="I25" s="21" t="s">
        <v>90</v>
      </c>
      <c r="J25" s="68">
        <f>+MONTH(ExpenseTable[[#This Row],[Voucher Date]])</f>
        <v>1</v>
      </c>
      <c r="K25" s="68" t="s">
        <v>71</v>
      </c>
    </row>
    <row r="26" spans="1:11" x14ac:dyDescent="0.35">
      <c r="A26" s="15">
        <v>45672</v>
      </c>
      <c r="B26" s="11" t="s">
        <v>131</v>
      </c>
      <c r="C26" s="19">
        <v>45664</v>
      </c>
      <c r="D26" s="13" t="s">
        <v>132</v>
      </c>
      <c r="E26" s="12">
        <v>34200</v>
      </c>
      <c r="F26" s="21" t="s">
        <v>54</v>
      </c>
      <c r="G26" s="21" t="s">
        <v>72</v>
      </c>
      <c r="H26" s="21" t="s">
        <v>73</v>
      </c>
      <c r="I26" s="21" t="s">
        <v>90</v>
      </c>
      <c r="J26" s="68">
        <f>+MONTH(ExpenseTable[[#This Row],[Voucher Date]])</f>
        <v>1</v>
      </c>
      <c r="K26" s="68" t="s">
        <v>71</v>
      </c>
    </row>
    <row r="27" spans="1:11" x14ac:dyDescent="0.35">
      <c r="A27" s="15">
        <v>45664</v>
      </c>
      <c r="B27" s="11" t="s">
        <v>131</v>
      </c>
      <c r="C27" s="19">
        <v>45664</v>
      </c>
      <c r="D27" s="13" t="s">
        <v>118</v>
      </c>
      <c r="E27" s="12">
        <v>68100</v>
      </c>
      <c r="F27" s="21" t="s">
        <v>57</v>
      </c>
      <c r="G27" s="21" t="s">
        <v>66</v>
      </c>
      <c r="H27" s="21" t="s">
        <v>68</v>
      </c>
      <c r="I27" s="21" t="s">
        <v>90</v>
      </c>
      <c r="J27" s="68">
        <f>+MONTH(ExpenseTable[[#This Row],[Voucher Date]])</f>
        <v>1</v>
      </c>
      <c r="K27" s="68" t="s">
        <v>71</v>
      </c>
    </row>
    <row r="28" spans="1:11" x14ac:dyDescent="0.35">
      <c r="A28" s="15">
        <v>45668</v>
      </c>
      <c r="B28" s="11" t="s">
        <v>131</v>
      </c>
      <c r="C28" s="19">
        <v>45664</v>
      </c>
      <c r="D28" s="13" t="s">
        <v>118</v>
      </c>
      <c r="E28" s="12">
        <v>68100</v>
      </c>
      <c r="F28" s="21" t="s">
        <v>57</v>
      </c>
      <c r="G28" s="21" t="s">
        <v>66</v>
      </c>
      <c r="H28" s="21" t="s">
        <v>68</v>
      </c>
      <c r="I28" s="21" t="s">
        <v>90</v>
      </c>
      <c r="J28" s="68">
        <f>+MONTH(ExpenseTable[[#This Row],[Voucher Date]])</f>
        <v>1</v>
      </c>
      <c r="K28" s="68" t="s">
        <v>71</v>
      </c>
    </row>
    <row r="29" spans="1:11" x14ac:dyDescent="0.35">
      <c r="A29" s="15">
        <v>45671</v>
      </c>
      <c r="B29" s="11" t="s">
        <v>131</v>
      </c>
      <c r="C29" s="19">
        <v>45664</v>
      </c>
      <c r="D29" s="13" t="s">
        <v>118</v>
      </c>
      <c r="E29" s="12">
        <v>68100</v>
      </c>
      <c r="F29" s="21" t="s">
        <v>57</v>
      </c>
      <c r="G29" s="21" t="s">
        <v>66</v>
      </c>
      <c r="H29" s="21" t="s">
        <v>68</v>
      </c>
      <c r="I29" s="21" t="s">
        <v>90</v>
      </c>
      <c r="J29" s="68">
        <f>+MONTH(ExpenseTable[[#This Row],[Voucher Date]])</f>
        <v>1</v>
      </c>
      <c r="K29" s="68" t="s">
        <v>71</v>
      </c>
    </row>
    <row r="30" spans="1:11" x14ac:dyDescent="0.35">
      <c r="A30" s="15">
        <v>45681</v>
      </c>
      <c r="B30" s="11" t="s">
        <v>135</v>
      </c>
      <c r="C30" s="19">
        <v>45665</v>
      </c>
      <c r="D30" s="13" t="s">
        <v>138</v>
      </c>
      <c r="E30" s="12">
        <v>280000</v>
      </c>
      <c r="F30" s="21" t="s">
        <v>55</v>
      </c>
      <c r="G30" s="21" t="s">
        <v>72</v>
      </c>
      <c r="H30" s="21" t="s">
        <v>73</v>
      </c>
      <c r="I30" s="21" t="s">
        <v>91</v>
      </c>
      <c r="J30" s="68">
        <f>+MONTH(ExpenseTable[[#This Row],[Voucher Date]])</f>
        <v>1</v>
      </c>
      <c r="K30" s="68" t="s">
        <v>71</v>
      </c>
    </row>
    <row r="31" spans="1:11" x14ac:dyDescent="0.35">
      <c r="A31" s="15">
        <v>45678</v>
      </c>
      <c r="B31" s="11" t="s">
        <v>135</v>
      </c>
      <c r="C31" s="19">
        <v>45665</v>
      </c>
      <c r="D31" s="13" t="s">
        <v>136</v>
      </c>
      <c r="E31" s="12">
        <v>380000</v>
      </c>
      <c r="F31" s="21" t="s">
        <v>50</v>
      </c>
      <c r="G31" s="21" t="s">
        <v>72</v>
      </c>
      <c r="H31" s="21" t="s">
        <v>73</v>
      </c>
      <c r="I31" s="21" t="s">
        <v>91</v>
      </c>
      <c r="J31" s="68">
        <f>+MONTH(ExpenseTable[[#This Row],[Voucher Date]])</f>
        <v>1</v>
      </c>
      <c r="K31" s="68" t="s">
        <v>71</v>
      </c>
    </row>
    <row r="32" spans="1:11" x14ac:dyDescent="0.35">
      <c r="A32" s="15">
        <v>45681</v>
      </c>
      <c r="B32" s="11" t="s">
        <v>135</v>
      </c>
      <c r="C32" s="19">
        <v>45665</v>
      </c>
      <c r="D32" s="13" t="s">
        <v>139</v>
      </c>
      <c r="E32" s="12">
        <v>900000</v>
      </c>
      <c r="F32" s="21" t="s">
        <v>55</v>
      </c>
      <c r="G32" s="21" t="s">
        <v>72</v>
      </c>
      <c r="H32" s="21" t="s">
        <v>73</v>
      </c>
      <c r="I32" s="21" t="s">
        <v>91</v>
      </c>
      <c r="J32" s="68">
        <f>+MONTH(ExpenseTable[[#This Row],[Voucher Date]])</f>
        <v>1</v>
      </c>
      <c r="K32" s="68" t="s">
        <v>71</v>
      </c>
    </row>
    <row r="33" spans="1:11" x14ac:dyDescent="0.35">
      <c r="A33" s="15">
        <v>45665</v>
      </c>
      <c r="B33" s="11" t="s">
        <v>135</v>
      </c>
      <c r="C33" s="19">
        <v>45665</v>
      </c>
      <c r="D33" s="13" t="s">
        <v>137</v>
      </c>
      <c r="E33" s="12">
        <v>1400000</v>
      </c>
      <c r="F33" s="21" t="s">
        <v>44</v>
      </c>
      <c r="G33" s="21" t="s">
        <v>72</v>
      </c>
      <c r="H33" s="21" t="s">
        <v>73</v>
      </c>
      <c r="I33" s="21" t="s">
        <v>91</v>
      </c>
      <c r="J33" s="68">
        <f>+MONTH(ExpenseTable[[#This Row],[Voucher Date]])</f>
        <v>1</v>
      </c>
      <c r="K33" s="68" t="s">
        <v>71</v>
      </c>
    </row>
    <row r="34" spans="1:11" x14ac:dyDescent="0.35">
      <c r="A34" s="15">
        <v>45666</v>
      </c>
      <c r="B34" s="11" t="s">
        <v>140</v>
      </c>
      <c r="C34" s="19">
        <v>45666</v>
      </c>
      <c r="D34" s="13" t="s">
        <v>143</v>
      </c>
      <c r="E34" s="12">
        <v>600</v>
      </c>
      <c r="F34" s="21" t="s">
        <v>5</v>
      </c>
      <c r="G34" s="21" t="s">
        <v>72</v>
      </c>
      <c r="H34" s="21" t="s">
        <v>73</v>
      </c>
      <c r="I34" s="21" t="s">
        <v>90</v>
      </c>
      <c r="J34" s="68">
        <f>+MONTH(ExpenseTable[[#This Row],[Voucher Date]])</f>
        <v>1</v>
      </c>
      <c r="K34" s="68" t="s">
        <v>71</v>
      </c>
    </row>
    <row r="35" spans="1:11" x14ac:dyDescent="0.35">
      <c r="A35" s="15">
        <v>45667</v>
      </c>
      <c r="B35" s="11" t="s">
        <v>140</v>
      </c>
      <c r="C35" s="19">
        <v>45666</v>
      </c>
      <c r="D35" s="13" t="s">
        <v>117</v>
      </c>
      <c r="E35" s="12">
        <v>2800</v>
      </c>
      <c r="F35" s="21" t="s">
        <v>54</v>
      </c>
      <c r="G35" s="21" t="s">
        <v>66</v>
      </c>
      <c r="H35" s="21" t="s">
        <v>68</v>
      </c>
      <c r="I35" s="21" t="s">
        <v>90</v>
      </c>
      <c r="J35" s="68">
        <f>+MONTH(ExpenseTable[[#This Row],[Voucher Date]])</f>
        <v>1</v>
      </c>
      <c r="K35" s="68" t="s">
        <v>71</v>
      </c>
    </row>
    <row r="36" spans="1:11" x14ac:dyDescent="0.35">
      <c r="A36" s="15">
        <v>45660</v>
      </c>
      <c r="B36" s="11" t="s">
        <v>140</v>
      </c>
      <c r="C36" s="19">
        <v>45666</v>
      </c>
      <c r="D36" s="13" t="s">
        <v>144</v>
      </c>
      <c r="E36" s="12">
        <v>3000</v>
      </c>
      <c r="F36" s="21" t="s">
        <v>22</v>
      </c>
      <c r="G36" s="21" t="s">
        <v>72</v>
      </c>
      <c r="H36" s="21" t="s">
        <v>73</v>
      </c>
      <c r="I36" s="21" t="s">
        <v>90</v>
      </c>
      <c r="J36" s="68">
        <f>+MONTH(ExpenseTable[[#This Row],[Voucher Date]])</f>
        <v>1</v>
      </c>
      <c r="K36" s="68" t="s">
        <v>71</v>
      </c>
    </row>
    <row r="37" spans="1:11" x14ac:dyDescent="0.35">
      <c r="A37" s="15">
        <v>45666</v>
      </c>
      <c r="B37" s="11" t="s">
        <v>140</v>
      </c>
      <c r="C37" s="19">
        <v>45666</v>
      </c>
      <c r="D37" s="13" t="s">
        <v>141</v>
      </c>
      <c r="E37" s="12">
        <v>3000</v>
      </c>
      <c r="F37" s="21" t="s">
        <v>54</v>
      </c>
      <c r="G37" s="21" t="s">
        <v>72</v>
      </c>
      <c r="H37" s="21" t="s">
        <v>73</v>
      </c>
      <c r="I37" s="21" t="s">
        <v>90</v>
      </c>
      <c r="J37" s="68">
        <f>+MONTH(ExpenseTable[[#This Row],[Voucher Date]])</f>
        <v>1</v>
      </c>
      <c r="K37" s="68" t="s">
        <v>71</v>
      </c>
    </row>
    <row r="38" spans="1:11" x14ac:dyDescent="0.35">
      <c r="A38" s="15">
        <v>45666</v>
      </c>
      <c r="B38" s="11" t="s">
        <v>140</v>
      </c>
      <c r="C38" s="19">
        <v>45666</v>
      </c>
      <c r="D38" s="13" t="s">
        <v>142</v>
      </c>
      <c r="E38" s="12">
        <v>3500</v>
      </c>
      <c r="F38" s="21" t="s">
        <v>21</v>
      </c>
      <c r="G38" s="21" t="s">
        <v>72</v>
      </c>
      <c r="H38" s="21" t="s">
        <v>73</v>
      </c>
      <c r="I38" s="21" t="s">
        <v>90</v>
      </c>
      <c r="J38" s="68">
        <f>+MONTH(ExpenseTable[[#This Row],[Voucher Date]])</f>
        <v>1</v>
      </c>
      <c r="K38" s="68" t="s">
        <v>71</v>
      </c>
    </row>
    <row r="39" spans="1:11" x14ac:dyDescent="0.35">
      <c r="A39" s="15">
        <v>45666</v>
      </c>
      <c r="B39" s="11" t="s">
        <v>140</v>
      </c>
      <c r="C39" s="19">
        <v>45666</v>
      </c>
      <c r="D39" s="13" t="s">
        <v>145</v>
      </c>
      <c r="E39" s="12">
        <v>4500</v>
      </c>
      <c r="F39" s="21" t="s">
        <v>27</v>
      </c>
      <c r="G39" s="21" t="s">
        <v>72</v>
      </c>
      <c r="H39" s="21" t="s">
        <v>73</v>
      </c>
      <c r="I39" s="21" t="s">
        <v>90</v>
      </c>
      <c r="J39" s="68">
        <f>+MONTH(ExpenseTable[[#This Row],[Voucher Date]])</f>
        <v>1</v>
      </c>
      <c r="K39" s="68" t="s">
        <v>71</v>
      </c>
    </row>
    <row r="40" spans="1:11" x14ac:dyDescent="0.35">
      <c r="A40" s="15">
        <v>45668</v>
      </c>
      <c r="B40" s="11" t="s">
        <v>140</v>
      </c>
      <c r="C40" s="19">
        <v>45666</v>
      </c>
      <c r="D40" s="13" t="s">
        <v>117</v>
      </c>
      <c r="E40" s="12">
        <v>4800</v>
      </c>
      <c r="F40" s="21" t="s">
        <v>54</v>
      </c>
      <c r="G40" s="21" t="s">
        <v>66</v>
      </c>
      <c r="H40" s="21" t="s">
        <v>68</v>
      </c>
      <c r="I40" s="21" t="s">
        <v>90</v>
      </c>
      <c r="J40" s="68">
        <f>+MONTH(ExpenseTable[[#This Row],[Voucher Date]])</f>
        <v>1</v>
      </c>
      <c r="K40" s="68" t="s">
        <v>71</v>
      </c>
    </row>
    <row r="41" spans="1:11" x14ac:dyDescent="0.35">
      <c r="A41" s="15">
        <v>45666</v>
      </c>
      <c r="B41" s="11" t="s">
        <v>140</v>
      </c>
      <c r="C41" s="19">
        <v>45666</v>
      </c>
      <c r="D41" s="13" t="s">
        <v>1098</v>
      </c>
      <c r="E41" s="12">
        <v>8500</v>
      </c>
      <c r="F41" s="21" t="s">
        <v>31</v>
      </c>
      <c r="G41" s="21" t="s">
        <v>72</v>
      </c>
      <c r="H41" s="21" t="s">
        <v>73</v>
      </c>
      <c r="I41" s="21" t="s">
        <v>90</v>
      </c>
      <c r="J41" s="68">
        <f>+MONTH(ExpenseTable[[#This Row],[Voucher Date]])</f>
        <v>1</v>
      </c>
      <c r="K41" s="68" t="s">
        <v>71</v>
      </c>
    </row>
    <row r="42" spans="1:11" x14ac:dyDescent="0.35">
      <c r="A42" s="15">
        <v>45674</v>
      </c>
      <c r="B42" s="11" t="s">
        <v>146</v>
      </c>
      <c r="C42" s="19">
        <v>45667</v>
      </c>
      <c r="D42" s="13" t="s">
        <v>160</v>
      </c>
      <c r="E42" s="12">
        <v>200</v>
      </c>
      <c r="F42" s="21" t="s">
        <v>21</v>
      </c>
      <c r="G42" s="21" t="s">
        <v>66</v>
      </c>
      <c r="H42" s="21" t="s">
        <v>68</v>
      </c>
      <c r="I42" s="21" t="s">
        <v>90</v>
      </c>
      <c r="J42" s="68">
        <f>+MONTH(ExpenseTable[[#This Row],[Voucher Date]])</f>
        <v>1</v>
      </c>
      <c r="K42" s="68" t="s">
        <v>71</v>
      </c>
    </row>
    <row r="43" spans="1:11" x14ac:dyDescent="0.35">
      <c r="A43" s="15">
        <v>45671</v>
      </c>
      <c r="B43" s="11" t="s">
        <v>146</v>
      </c>
      <c r="C43" s="19">
        <v>45667</v>
      </c>
      <c r="D43" s="13" t="s">
        <v>159</v>
      </c>
      <c r="E43" s="12">
        <v>600</v>
      </c>
      <c r="F43" s="21" t="s">
        <v>21</v>
      </c>
      <c r="G43" s="21" t="s">
        <v>66</v>
      </c>
      <c r="H43" s="21" t="s">
        <v>68</v>
      </c>
      <c r="I43" s="21" t="s">
        <v>90</v>
      </c>
      <c r="J43" s="68">
        <f>+MONTH(ExpenseTable[[#This Row],[Voucher Date]])</f>
        <v>1</v>
      </c>
      <c r="K43" s="68" t="s">
        <v>71</v>
      </c>
    </row>
    <row r="44" spans="1:11" x14ac:dyDescent="0.35">
      <c r="A44" s="15">
        <v>45673</v>
      </c>
      <c r="B44" s="11" t="s">
        <v>146</v>
      </c>
      <c r="C44" s="19">
        <v>45667</v>
      </c>
      <c r="D44" s="13" t="s">
        <v>158</v>
      </c>
      <c r="E44" s="12">
        <v>2000</v>
      </c>
      <c r="F44" s="21" t="s">
        <v>54</v>
      </c>
      <c r="G44" s="21" t="s">
        <v>66</v>
      </c>
      <c r="H44" s="21" t="s">
        <v>68</v>
      </c>
      <c r="I44" s="21" t="s">
        <v>90</v>
      </c>
      <c r="J44" s="68">
        <f>+MONTH(ExpenseTable[[#This Row],[Voucher Date]])</f>
        <v>1</v>
      </c>
      <c r="K44" s="68" t="s">
        <v>71</v>
      </c>
    </row>
    <row r="45" spans="1:11" x14ac:dyDescent="0.35">
      <c r="A45" s="15">
        <v>45670</v>
      </c>
      <c r="B45" s="11" t="s">
        <v>146</v>
      </c>
      <c r="C45" s="19">
        <v>45667</v>
      </c>
      <c r="D45" s="13" t="s">
        <v>157</v>
      </c>
      <c r="E45" s="12">
        <v>3000</v>
      </c>
      <c r="F45" s="21" t="s">
        <v>54</v>
      </c>
      <c r="G45" s="21" t="s">
        <v>66</v>
      </c>
      <c r="H45" s="21" t="s">
        <v>68</v>
      </c>
      <c r="I45" s="21" t="s">
        <v>90</v>
      </c>
      <c r="J45" s="68">
        <f>+MONTH(ExpenseTable[[#This Row],[Voucher Date]])</f>
        <v>1</v>
      </c>
      <c r="K45" s="68" t="s">
        <v>71</v>
      </c>
    </row>
    <row r="46" spans="1:11" x14ac:dyDescent="0.35">
      <c r="A46" s="15">
        <v>45672</v>
      </c>
      <c r="B46" s="11" t="s">
        <v>146</v>
      </c>
      <c r="C46" s="19">
        <v>45667</v>
      </c>
      <c r="D46" s="13" t="s">
        <v>157</v>
      </c>
      <c r="E46" s="12">
        <v>3000</v>
      </c>
      <c r="F46" s="21" t="s">
        <v>54</v>
      </c>
      <c r="G46" s="21" t="s">
        <v>66</v>
      </c>
      <c r="H46" s="21" t="s">
        <v>68</v>
      </c>
      <c r="I46" s="21" t="s">
        <v>90</v>
      </c>
      <c r="J46" s="68">
        <f>+MONTH(ExpenseTable[[#This Row],[Voucher Date]])</f>
        <v>1</v>
      </c>
      <c r="K46" s="68" t="s">
        <v>71</v>
      </c>
    </row>
    <row r="47" spans="1:11" x14ac:dyDescent="0.35">
      <c r="A47" s="15">
        <v>45672</v>
      </c>
      <c r="B47" s="11" t="s">
        <v>146</v>
      </c>
      <c r="C47" s="19">
        <v>45667</v>
      </c>
      <c r="D47" s="13" t="s">
        <v>157</v>
      </c>
      <c r="E47" s="12">
        <v>4800</v>
      </c>
      <c r="F47" s="21" t="s">
        <v>54</v>
      </c>
      <c r="G47" s="21" t="s">
        <v>66</v>
      </c>
      <c r="H47" s="21" t="s">
        <v>68</v>
      </c>
      <c r="I47" s="21" t="s">
        <v>90</v>
      </c>
      <c r="J47" s="68">
        <f>+MONTH(ExpenseTable[[#This Row],[Voucher Date]])</f>
        <v>1</v>
      </c>
      <c r="K47" s="68" t="s">
        <v>71</v>
      </c>
    </row>
    <row r="48" spans="1:11" x14ac:dyDescent="0.35">
      <c r="A48" s="15">
        <v>45671</v>
      </c>
      <c r="B48" s="11" t="s">
        <v>146</v>
      </c>
      <c r="C48" s="19">
        <v>45667</v>
      </c>
      <c r="D48" s="13" t="s">
        <v>162</v>
      </c>
      <c r="E48" s="12">
        <v>18000</v>
      </c>
      <c r="F48" s="21" t="s">
        <v>27</v>
      </c>
      <c r="G48" s="21" t="s">
        <v>72</v>
      </c>
      <c r="H48" s="21" t="s">
        <v>73</v>
      </c>
      <c r="I48" s="21" t="s">
        <v>90</v>
      </c>
      <c r="J48" s="68">
        <f>+MONTH(ExpenseTable[[#This Row],[Voucher Date]])</f>
        <v>1</v>
      </c>
      <c r="K48" s="68" t="s">
        <v>71</v>
      </c>
    </row>
    <row r="49" spans="1:11" x14ac:dyDescent="0.35">
      <c r="A49" s="15">
        <v>45667</v>
      </c>
      <c r="B49" s="11" t="s">
        <v>146</v>
      </c>
      <c r="C49" s="19">
        <v>45667</v>
      </c>
      <c r="D49" s="13" t="s">
        <v>161</v>
      </c>
      <c r="E49" s="12">
        <v>54000</v>
      </c>
      <c r="F49" s="21" t="s">
        <v>22</v>
      </c>
      <c r="G49" s="21" t="s">
        <v>72</v>
      </c>
      <c r="H49" s="21" t="s">
        <v>73</v>
      </c>
      <c r="I49" s="21" t="s">
        <v>90</v>
      </c>
      <c r="J49" s="68">
        <f>+MONTH(ExpenseTable[[#This Row],[Voucher Date]])</f>
        <v>1</v>
      </c>
      <c r="K49" s="68" t="s">
        <v>71</v>
      </c>
    </row>
    <row r="50" spans="1:11" x14ac:dyDescent="0.35">
      <c r="A50" s="15">
        <v>45667</v>
      </c>
      <c r="B50" s="11" t="s">
        <v>155</v>
      </c>
      <c r="C50" s="19">
        <v>45667</v>
      </c>
      <c r="D50" s="13" t="s">
        <v>147</v>
      </c>
      <c r="E50" s="12">
        <v>2875.76</v>
      </c>
      <c r="F50" s="21" t="s">
        <v>20</v>
      </c>
      <c r="G50" s="21" t="s">
        <v>72</v>
      </c>
      <c r="H50" s="21" t="s">
        <v>73</v>
      </c>
      <c r="I50" s="21" t="s">
        <v>91</v>
      </c>
      <c r="J50" s="68">
        <f>+MONTH(ExpenseTable[[#This Row],[Voucher Date]])</f>
        <v>1</v>
      </c>
      <c r="K50" s="68" t="s">
        <v>71</v>
      </c>
    </row>
    <row r="51" spans="1:11" x14ac:dyDescent="0.35">
      <c r="A51" s="15">
        <v>45667</v>
      </c>
      <c r="B51" s="11" t="s">
        <v>155</v>
      </c>
      <c r="C51" s="19">
        <v>45667</v>
      </c>
      <c r="D51" s="13" t="s">
        <v>148</v>
      </c>
      <c r="E51" s="12">
        <v>2875.76</v>
      </c>
      <c r="F51" s="21" t="s">
        <v>20</v>
      </c>
      <c r="G51" s="21" t="s">
        <v>72</v>
      </c>
      <c r="H51" s="21" t="s">
        <v>73</v>
      </c>
      <c r="I51" s="21" t="s">
        <v>91</v>
      </c>
      <c r="J51" s="68">
        <f>+MONTH(ExpenseTable[[#This Row],[Voucher Date]])</f>
        <v>1</v>
      </c>
      <c r="K51" s="68" t="s">
        <v>71</v>
      </c>
    </row>
    <row r="52" spans="1:11" x14ac:dyDescent="0.35">
      <c r="A52" s="15">
        <v>45667</v>
      </c>
      <c r="B52" s="11" t="s">
        <v>155</v>
      </c>
      <c r="C52" s="19">
        <v>45667</v>
      </c>
      <c r="D52" s="13" t="s">
        <v>153</v>
      </c>
      <c r="E52" s="12">
        <v>20000</v>
      </c>
      <c r="F52" s="21" t="s">
        <v>87</v>
      </c>
      <c r="G52" s="21" t="s">
        <v>72</v>
      </c>
      <c r="H52" s="21" t="s">
        <v>73</v>
      </c>
      <c r="I52" s="21" t="s">
        <v>91</v>
      </c>
      <c r="J52" s="68">
        <f>+MONTH(ExpenseTable[[#This Row],[Voucher Date]])</f>
        <v>1</v>
      </c>
      <c r="K52" s="68" t="s">
        <v>71</v>
      </c>
    </row>
    <row r="53" spans="1:11" x14ac:dyDescent="0.35">
      <c r="A53" s="15">
        <v>45667</v>
      </c>
      <c r="B53" s="11" t="s">
        <v>155</v>
      </c>
      <c r="C53" s="19">
        <v>45667</v>
      </c>
      <c r="D53" s="13" t="s">
        <v>151</v>
      </c>
      <c r="E53" s="12">
        <v>40577.32</v>
      </c>
      <c r="F53" s="21" t="s">
        <v>20</v>
      </c>
      <c r="G53" s="21" t="s">
        <v>72</v>
      </c>
      <c r="H53" s="21" t="s">
        <v>73</v>
      </c>
      <c r="I53" s="21" t="s">
        <v>91</v>
      </c>
      <c r="J53" s="68">
        <f>+MONTH(ExpenseTable[[#This Row],[Voucher Date]])</f>
        <v>1</v>
      </c>
      <c r="K53" s="68" t="s">
        <v>71</v>
      </c>
    </row>
    <row r="54" spans="1:11" x14ac:dyDescent="0.35">
      <c r="A54" s="15">
        <v>45667</v>
      </c>
      <c r="B54" s="11" t="s">
        <v>155</v>
      </c>
      <c r="C54" s="19">
        <v>45667</v>
      </c>
      <c r="D54" s="13" t="s">
        <v>152</v>
      </c>
      <c r="E54" s="12">
        <v>40577.32</v>
      </c>
      <c r="F54" s="21" t="s">
        <v>20</v>
      </c>
      <c r="G54" s="21" t="s">
        <v>72</v>
      </c>
      <c r="H54" s="21" t="s">
        <v>73</v>
      </c>
      <c r="I54" s="21" t="s">
        <v>91</v>
      </c>
      <c r="J54" s="68">
        <f>+MONTH(ExpenseTable[[#This Row],[Voucher Date]])</f>
        <v>1</v>
      </c>
      <c r="K54" s="68" t="s">
        <v>71</v>
      </c>
    </row>
    <row r="55" spans="1:11" x14ac:dyDescent="0.35">
      <c r="A55" s="15">
        <v>45667</v>
      </c>
      <c r="B55" s="11" t="s">
        <v>155</v>
      </c>
      <c r="C55" s="19">
        <v>45667</v>
      </c>
      <c r="D55" s="13" t="s">
        <v>150</v>
      </c>
      <c r="E55" s="12">
        <v>153682.01</v>
      </c>
      <c r="F55" s="21" t="s">
        <v>20</v>
      </c>
      <c r="G55" s="21" t="s">
        <v>72</v>
      </c>
      <c r="H55" s="21" t="s">
        <v>73</v>
      </c>
      <c r="I55" s="21" t="s">
        <v>91</v>
      </c>
      <c r="J55" s="68">
        <f>+MONTH(ExpenseTable[[#This Row],[Voucher Date]])</f>
        <v>1</v>
      </c>
      <c r="K55" s="68" t="s">
        <v>71</v>
      </c>
    </row>
    <row r="56" spans="1:11" x14ac:dyDescent="0.35">
      <c r="A56" s="15">
        <v>45668</v>
      </c>
      <c r="B56" s="11" t="s">
        <v>155</v>
      </c>
      <c r="C56" s="19">
        <v>45667</v>
      </c>
      <c r="D56" s="13" t="s">
        <v>154</v>
      </c>
      <c r="E56" s="12">
        <v>180000</v>
      </c>
      <c r="F56" s="21" t="s">
        <v>5</v>
      </c>
      <c r="G56" s="21" t="s">
        <v>72</v>
      </c>
      <c r="H56" s="21" t="s">
        <v>73</v>
      </c>
      <c r="I56" s="21" t="s">
        <v>91</v>
      </c>
      <c r="J56" s="68">
        <f>+MONTH(ExpenseTable[[#This Row],[Voucher Date]])</f>
        <v>1</v>
      </c>
      <c r="K56" s="68" t="s">
        <v>71</v>
      </c>
    </row>
    <row r="57" spans="1:11" x14ac:dyDescent="0.35">
      <c r="A57" s="15">
        <v>45667</v>
      </c>
      <c r="B57" s="11" t="s">
        <v>155</v>
      </c>
      <c r="C57" s="19">
        <v>45667</v>
      </c>
      <c r="D57" s="13" t="s">
        <v>149</v>
      </c>
      <c r="E57" s="12">
        <v>203936.25</v>
      </c>
      <c r="F57" s="21" t="s">
        <v>20</v>
      </c>
      <c r="G57" s="21" t="s">
        <v>72</v>
      </c>
      <c r="H57" s="21" t="s">
        <v>73</v>
      </c>
      <c r="I57" s="21" t="s">
        <v>91</v>
      </c>
      <c r="J57" s="68">
        <f>+MONTH(ExpenseTable[[#This Row],[Voucher Date]])</f>
        <v>1</v>
      </c>
      <c r="K57" s="68" t="s">
        <v>71</v>
      </c>
    </row>
    <row r="58" spans="1:11" x14ac:dyDescent="0.35">
      <c r="A58" s="15">
        <v>45671</v>
      </c>
      <c r="B58" s="11" t="s">
        <v>843</v>
      </c>
      <c r="C58" s="19">
        <v>45667</v>
      </c>
      <c r="D58" s="13" t="s">
        <v>156</v>
      </c>
      <c r="E58" s="12">
        <v>45000</v>
      </c>
      <c r="F58" s="21" t="s">
        <v>5</v>
      </c>
      <c r="G58" s="21" t="s">
        <v>72</v>
      </c>
      <c r="H58" s="21" t="s">
        <v>73</v>
      </c>
      <c r="I58" s="21" t="s">
        <v>91</v>
      </c>
      <c r="J58" s="68">
        <f>+MONTH(ExpenseTable[[#This Row],[Voucher Date]])</f>
        <v>1</v>
      </c>
      <c r="K58" s="68" t="s">
        <v>71</v>
      </c>
    </row>
    <row r="59" spans="1:11" x14ac:dyDescent="0.35">
      <c r="A59" s="15">
        <v>45679</v>
      </c>
      <c r="B59" s="11" t="s">
        <v>163</v>
      </c>
      <c r="C59" s="19">
        <v>45670</v>
      </c>
      <c r="D59" s="13" t="s">
        <v>165</v>
      </c>
      <c r="E59" s="12">
        <v>1700</v>
      </c>
      <c r="F59" s="21" t="s">
        <v>24</v>
      </c>
      <c r="G59" s="21" t="s">
        <v>72</v>
      </c>
      <c r="H59" s="21" t="s">
        <v>73</v>
      </c>
      <c r="I59" s="21" t="s">
        <v>91</v>
      </c>
      <c r="J59" s="68">
        <f>+MONTH(ExpenseTable[[#This Row],[Voucher Date]])</f>
        <v>1</v>
      </c>
      <c r="K59" s="68" t="s">
        <v>71</v>
      </c>
    </row>
    <row r="60" spans="1:11" x14ac:dyDescent="0.35">
      <c r="A60" s="15">
        <v>45673</v>
      </c>
      <c r="B60" s="11" t="s">
        <v>163</v>
      </c>
      <c r="C60" s="19">
        <v>45670</v>
      </c>
      <c r="D60" s="13" t="s">
        <v>168</v>
      </c>
      <c r="E60" s="12">
        <v>3293.02</v>
      </c>
      <c r="F60" s="21" t="s">
        <v>83</v>
      </c>
      <c r="G60" s="21" t="s">
        <v>72</v>
      </c>
      <c r="H60" s="21" t="s">
        <v>73</v>
      </c>
      <c r="I60" s="21" t="s">
        <v>91</v>
      </c>
      <c r="J60" s="68">
        <f>+MONTH(ExpenseTable[[#This Row],[Voucher Date]])</f>
        <v>1</v>
      </c>
      <c r="K60" s="68" t="s">
        <v>71</v>
      </c>
    </row>
    <row r="61" spans="1:11" x14ac:dyDescent="0.35">
      <c r="A61" s="15">
        <v>45679</v>
      </c>
      <c r="B61" s="11" t="s">
        <v>163</v>
      </c>
      <c r="C61" s="19">
        <v>45670</v>
      </c>
      <c r="D61" s="13" t="s">
        <v>164</v>
      </c>
      <c r="E61" s="12">
        <v>5000</v>
      </c>
      <c r="F61" s="21" t="s">
        <v>24</v>
      </c>
      <c r="G61" s="21" t="s">
        <v>72</v>
      </c>
      <c r="H61" s="21" t="s">
        <v>73</v>
      </c>
      <c r="I61" s="21" t="s">
        <v>91</v>
      </c>
      <c r="J61" s="68">
        <f>+MONTH(ExpenseTable[[#This Row],[Voucher Date]])</f>
        <v>1</v>
      </c>
      <c r="K61" s="68" t="s">
        <v>71</v>
      </c>
    </row>
    <row r="62" spans="1:11" x14ac:dyDescent="0.35">
      <c r="A62" s="15">
        <v>45670</v>
      </c>
      <c r="B62" s="11" t="s">
        <v>163</v>
      </c>
      <c r="C62" s="19">
        <v>45670</v>
      </c>
      <c r="D62" s="13" t="s">
        <v>166</v>
      </c>
      <c r="E62" s="12">
        <v>158520.01</v>
      </c>
      <c r="F62" s="21" t="s">
        <v>56</v>
      </c>
      <c r="G62" s="21" t="s">
        <v>72</v>
      </c>
      <c r="H62" s="21" t="s">
        <v>73</v>
      </c>
      <c r="I62" s="21" t="s">
        <v>91</v>
      </c>
      <c r="J62" s="68">
        <f>+MONTH(ExpenseTable[[#This Row],[Voucher Date]])</f>
        <v>1</v>
      </c>
      <c r="K62" s="68" t="s">
        <v>71</v>
      </c>
    </row>
    <row r="63" spans="1:11" x14ac:dyDescent="0.35">
      <c r="A63" s="15">
        <v>45674</v>
      </c>
      <c r="B63" s="11" t="s">
        <v>163</v>
      </c>
      <c r="C63" s="19">
        <v>45670</v>
      </c>
      <c r="D63" s="13" t="s">
        <v>167</v>
      </c>
      <c r="E63" s="12">
        <v>537500</v>
      </c>
      <c r="F63" s="21" t="s">
        <v>38</v>
      </c>
      <c r="G63" s="21" t="s">
        <v>72</v>
      </c>
      <c r="H63" s="21" t="s">
        <v>73</v>
      </c>
      <c r="I63" s="21" t="s">
        <v>91</v>
      </c>
      <c r="J63" s="68">
        <f>+MONTH(ExpenseTable[[#This Row],[Voucher Date]])</f>
        <v>1</v>
      </c>
      <c r="K63" s="68" t="s">
        <v>71</v>
      </c>
    </row>
    <row r="64" spans="1:11" x14ac:dyDescent="0.35">
      <c r="A64" s="15">
        <v>45674</v>
      </c>
      <c r="B64" s="11" t="s">
        <v>163</v>
      </c>
      <c r="C64" s="19">
        <v>45670</v>
      </c>
      <c r="D64" s="13" t="s">
        <v>169</v>
      </c>
      <c r="E64" s="12">
        <v>1091000</v>
      </c>
      <c r="F64" s="21" t="s">
        <v>47</v>
      </c>
      <c r="G64" s="21" t="s">
        <v>72</v>
      </c>
      <c r="H64" s="21" t="s">
        <v>73</v>
      </c>
      <c r="I64" s="21" t="s">
        <v>91</v>
      </c>
      <c r="J64" s="68">
        <f>+MONTH(ExpenseTable[[#This Row],[Voucher Date]])</f>
        <v>1</v>
      </c>
      <c r="K64" s="68" t="s">
        <v>71</v>
      </c>
    </row>
    <row r="65" spans="1:11" x14ac:dyDescent="0.35">
      <c r="A65" s="15">
        <v>45674</v>
      </c>
      <c r="B65" s="11" t="s">
        <v>170</v>
      </c>
      <c r="C65" s="19">
        <v>45673</v>
      </c>
      <c r="D65" s="13" t="s">
        <v>159</v>
      </c>
      <c r="E65" s="12">
        <v>400</v>
      </c>
      <c r="F65" s="21" t="s">
        <v>54</v>
      </c>
      <c r="G65" s="21" t="s">
        <v>66</v>
      </c>
      <c r="H65" s="21" t="s">
        <v>68</v>
      </c>
      <c r="I65" s="21" t="s">
        <v>90</v>
      </c>
      <c r="J65" s="68">
        <f>+MONTH(ExpenseTable[[#This Row],[Voucher Date]])</f>
        <v>1</v>
      </c>
      <c r="K65" s="68" t="s">
        <v>71</v>
      </c>
    </row>
    <row r="66" spans="1:11" x14ac:dyDescent="0.35">
      <c r="A66" s="15">
        <v>45672</v>
      </c>
      <c r="B66" s="11" t="s">
        <v>170</v>
      </c>
      <c r="C66" s="19">
        <v>45673</v>
      </c>
      <c r="D66" s="13" t="s">
        <v>174</v>
      </c>
      <c r="E66" s="12">
        <v>800</v>
      </c>
      <c r="F66" s="21" t="s">
        <v>37</v>
      </c>
      <c r="G66" s="21" t="s">
        <v>72</v>
      </c>
      <c r="H66" s="21" t="s">
        <v>73</v>
      </c>
      <c r="I66" s="21" t="s">
        <v>90</v>
      </c>
      <c r="J66" s="68">
        <f>+MONTH(ExpenseTable[[#This Row],[Voucher Date]])</f>
        <v>1</v>
      </c>
      <c r="K66" s="68" t="s">
        <v>71</v>
      </c>
    </row>
    <row r="67" spans="1:11" x14ac:dyDescent="0.35">
      <c r="A67" s="15">
        <v>45673</v>
      </c>
      <c r="B67" s="11" t="s">
        <v>170</v>
      </c>
      <c r="C67" s="19">
        <v>45673</v>
      </c>
      <c r="D67" s="13" t="s">
        <v>134</v>
      </c>
      <c r="E67" s="12">
        <v>5000</v>
      </c>
      <c r="F67" s="21" t="s">
        <v>57</v>
      </c>
      <c r="G67" s="21" t="s">
        <v>72</v>
      </c>
      <c r="H67" s="21" t="s">
        <v>73</v>
      </c>
      <c r="I67" s="21" t="s">
        <v>90</v>
      </c>
      <c r="J67" s="68">
        <f>+MONTH(ExpenseTable[[#This Row],[Voucher Date]])</f>
        <v>1</v>
      </c>
      <c r="K67" s="68" t="s">
        <v>71</v>
      </c>
    </row>
    <row r="68" spans="1:11" x14ac:dyDescent="0.35">
      <c r="A68" s="15">
        <v>45673</v>
      </c>
      <c r="B68" s="11" t="s">
        <v>170</v>
      </c>
      <c r="C68" s="19">
        <v>45673</v>
      </c>
      <c r="D68" s="13" t="s">
        <v>157</v>
      </c>
      <c r="E68" s="12">
        <v>7000</v>
      </c>
      <c r="F68" s="21" t="s">
        <v>54</v>
      </c>
      <c r="G68" s="21" t="s">
        <v>66</v>
      </c>
      <c r="H68" s="21" t="s">
        <v>68</v>
      </c>
      <c r="I68" s="21" t="s">
        <v>90</v>
      </c>
      <c r="J68" s="68">
        <f>+MONTH(ExpenseTable[[#This Row],[Voucher Date]])</f>
        <v>1</v>
      </c>
      <c r="K68" s="68" t="s">
        <v>71</v>
      </c>
    </row>
    <row r="69" spans="1:11" x14ac:dyDescent="0.35">
      <c r="A69" s="15">
        <v>45674</v>
      </c>
      <c r="B69" s="11" t="s">
        <v>170</v>
      </c>
      <c r="C69" s="19">
        <v>45673</v>
      </c>
      <c r="D69" s="13" t="s">
        <v>157</v>
      </c>
      <c r="E69" s="12">
        <v>11500</v>
      </c>
      <c r="F69" s="21" t="s">
        <v>54</v>
      </c>
      <c r="G69" s="21" t="s">
        <v>66</v>
      </c>
      <c r="H69" s="21" t="s">
        <v>68</v>
      </c>
      <c r="I69" s="21" t="s">
        <v>90</v>
      </c>
      <c r="J69" s="68">
        <f>+MONTH(ExpenseTable[[#This Row],[Voucher Date]])</f>
        <v>1</v>
      </c>
      <c r="K69" s="68" t="s">
        <v>71</v>
      </c>
    </row>
    <row r="70" spans="1:11" x14ac:dyDescent="0.35">
      <c r="A70" s="15">
        <v>45674</v>
      </c>
      <c r="B70" s="11" t="s">
        <v>170</v>
      </c>
      <c r="C70" s="19">
        <v>45673</v>
      </c>
      <c r="D70" s="13" t="s">
        <v>175</v>
      </c>
      <c r="E70" s="12">
        <v>20000</v>
      </c>
      <c r="F70" s="21" t="s">
        <v>22</v>
      </c>
      <c r="G70" s="21" t="s">
        <v>72</v>
      </c>
      <c r="H70" s="21" t="s">
        <v>73</v>
      </c>
      <c r="I70" s="21" t="s">
        <v>90</v>
      </c>
      <c r="J70" s="68">
        <f>+MONTH(ExpenseTable[[#This Row],[Voucher Date]])</f>
        <v>1</v>
      </c>
      <c r="K70" s="68" t="s">
        <v>71</v>
      </c>
    </row>
    <row r="71" spans="1:11" x14ac:dyDescent="0.35">
      <c r="A71" s="15">
        <v>45674</v>
      </c>
      <c r="B71" s="11" t="s">
        <v>170</v>
      </c>
      <c r="C71" s="19">
        <v>45673</v>
      </c>
      <c r="D71" s="13" t="s">
        <v>176</v>
      </c>
      <c r="E71" s="12">
        <v>20000</v>
      </c>
      <c r="F71" s="21" t="s">
        <v>29</v>
      </c>
      <c r="G71" s="21" t="s">
        <v>72</v>
      </c>
      <c r="H71" s="21" t="s">
        <v>73</v>
      </c>
      <c r="I71" s="21" t="s">
        <v>90</v>
      </c>
      <c r="J71" s="68">
        <f>+MONTH(ExpenseTable[[#This Row],[Voucher Date]])</f>
        <v>1</v>
      </c>
      <c r="K71" s="68" t="s">
        <v>71</v>
      </c>
    </row>
    <row r="72" spans="1:11" x14ac:dyDescent="0.35">
      <c r="A72" s="15">
        <v>45675</v>
      </c>
      <c r="B72" s="11" t="s">
        <v>170</v>
      </c>
      <c r="C72" s="19">
        <v>45673</v>
      </c>
      <c r="D72" s="13" t="s">
        <v>157</v>
      </c>
      <c r="E72" s="12" t="s">
        <v>173</v>
      </c>
      <c r="F72" s="21" t="s">
        <v>54</v>
      </c>
      <c r="G72" s="21" t="s">
        <v>66</v>
      </c>
      <c r="H72" s="21" t="s">
        <v>68</v>
      </c>
      <c r="I72" s="21" t="s">
        <v>90</v>
      </c>
      <c r="J72" s="68">
        <f>+MONTH(ExpenseTable[[#This Row],[Voucher Date]])</f>
        <v>1</v>
      </c>
      <c r="K72" s="68" t="s">
        <v>71</v>
      </c>
    </row>
    <row r="73" spans="1:11" x14ac:dyDescent="0.35">
      <c r="A73" s="15">
        <v>45679</v>
      </c>
      <c r="B73" s="11" t="s">
        <v>844</v>
      </c>
      <c r="C73" s="19">
        <v>45673</v>
      </c>
      <c r="D73" s="13" t="s">
        <v>171</v>
      </c>
      <c r="E73" s="12">
        <v>7000</v>
      </c>
      <c r="F73" s="21" t="s">
        <v>40</v>
      </c>
      <c r="G73" s="21" t="s">
        <v>72</v>
      </c>
      <c r="H73" s="21" t="s">
        <v>73</v>
      </c>
      <c r="I73" s="21" t="s">
        <v>90</v>
      </c>
      <c r="J73" s="68">
        <f>+MONTH(ExpenseTable[[#This Row],[Voucher Date]])</f>
        <v>1</v>
      </c>
      <c r="K73" s="68" t="s">
        <v>71</v>
      </c>
    </row>
    <row r="74" spans="1:11" x14ac:dyDescent="0.35">
      <c r="A74" s="15">
        <v>45677</v>
      </c>
      <c r="B74" s="11" t="s">
        <v>844</v>
      </c>
      <c r="C74" s="19">
        <v>45673</v>
      </c>
      <c r="D74" s="13" t="s">
        <v>133</v>
      </c>
      <c r="E74" s="12">
        <v>20000</v>
      </c>
      <c r="F74" s="21" t="s">
        <v>32</v>
      </c>
      <c r="G74" s="21" t="s">
        <v>72</v>
      </c>
      <c r="H74" s="21" t="s">
        <v>73</v>
      </c>
      <c r="I74" s="21" t="s">
        <v>90</v>
      </c>
      <c r="J74" s="68">
        <f>+MONTH(ExpenseTable[[#This Row],[Voucher Date]])</f>
        <v>1</v>
      </c>
      <c r="K74" s="68" t="s">
        <v>71</v>
      </c>
    </row>
    <row r="75" spans="1:11" x14ac:dyDescent="0.35">
      <c r="A75" s="15">
        <v>45679</v>
      </c>
      <c r="B75" s="11" t="s">
        <v>844</v>
      </c>
      <c r="C75" s="19">
        <v>45673</v>
      </c>
      <c r="D75" s="13" t="s">
        <v>133</v>
      </c>
      <c r="E75" s="12">
        <v>29100</v>
      </c>
      <c r="F75" s="21" t="s">
        <v>32</v>
      </c>
      <c r="G75" s="21" t="s">
        <v>72</v>
      </c>
      <c r="H75" s="21" t="s">
        <v>73</v>
      </c>
      <c r="I75" s="21" t="s">
        <v>90</v>
      </c>
      <c r="J75" s="68">
        <f>+MONTH(ExpenseTable[[#This Row],[Voucher Date]])</f>
        <v>1</v>
      </c>
      <c r="K75" s="68" t="s">
        <v>71</v>
      </c>
    </row>
    <row r="76" spans="1:11" x14ac:dyDescent="0.35">
      <c r="A76" s="15">
        <v>45683</v>
      </c>
      <c r="B76" s="11" t="s">
        <v>844</v>
      </c>
      <c r="C76" s="19">
        <v>45673</v>
      </c>
      <c r="D76" s="13" t="s">
        <v>172</v>
      </c>
      <c r="E76" s="12">
        <v>30000</v>
      </c>
      <c r="F76" s="21" t="s">
        <v>57</v>
      </c>
      <c r="G76" s="21" t="s">
        <v>66</v>
      </c>
      <c r="H76" s="21" t="s">
        <v>68</v>
      </c>
      <c r="I76" s="21" t="s">
        <v>90</v>
      </c>
      <c r="J76" s="68">
        <f>+MONTH(ExpenseTable[[#This Row],[Voucher Date]])</f>
        <v>1</v>
      </c>
      <c r="K76" s="68" t="s">
        <v>71</v>
      </c>
    </row>
    <row r="77" spans="1:11" x14ac:dyDescent="0.35">
      <c r="A77" s="15">
        <v>45677</v>
      </c>
      <c r="B77" s="11" t="s">
        <v>844</v>
      </c>
      <c r="C77" s="19">
        <v>45673</v>
      </c>
      <c r="D77" s="13" t="s">
        <v>118</v>
      </c>
      <c r="E77" s="12">
        <v>68400</v>
      </c>
      <c r="F77" s="21" t="s">
        <v>57</v>
      </c>
      <c r="G77" s="21" t="s">
        <v>66</v>
      </c>
      <c r="H77" s="21" t="s">
        <v>68</v>
      </c>
      <c r="I77" s="21" t="s">
        <v>90</v>
      </c>
      <c r="J77" s="68">
        <f>+MONTH(ExpenseTable[[#This Row],[Voucher Date]])</f>
        <v>1</v>
      </c>
      <c r="K77" s="68" t="s">
        <v>71</v>
      </c>
    </row>
    <row r="78" spans="1:11" x14ac:dyDescent="0.35">
      <c r="A78" s="15">
        <v>45678</v>
      </c>
      <c r="B78" s="11" t="s">
        <v>844</v>
      </c>
      <c r="C78" s="19">
        <v>45673</v>
      </c>
      <c r="D78" s="13" t="s">
        <v>118</v>
      </c>
      <c r="E78" s="12">
        <v>68400</v>
      </c>
      <c r="F78" s="21" t="s">
        <v>57</v>
      </c>
      <c r="G78" s="21" t="s">
        <v>66</v>
      </c>
      <c r="H78" s="21" t="s">
        <v>68</v>
      </c>
      <c r="I78" s="21" t="s">
        <v>90</v>
      </c>
      <c r="J78" s="68">
        <f>+MONTH(ExpenseTable[[#This Row],[Voucher Date]])</f>
        <v>1</v>
      </c>
      <c r="K78" s="68" t="s">
        <v>71</v>
      </c>
    </row>
    <row r="79" spans="1:11" x14ac:dyDescent="0.35">
      <c r="A79" s="15">
        <v>45674</v>
      </c>
      <c r="B79" s="11" t="s">
        <v>844</v>
      </c>
      <c r="C79" s="19">
        <v>45673</v>
      </c>
      <c r="D79" s="13" t="s">
        <v>118</v>
      </c>
      <c r="E79" s="12">
        <v>102600</v>
      </c>
      <c r="F79" s="21" t="s">
        <v>57</v>
      </c>
      <c r="G79" s="21" t="s">
        <v>66</v>
      </c>
      <c r="H79" s="21" t="s">
        <v>68</v>
      </c>
      <c r="I79" s="21" t="s">
        <v>90</v>
      </c>
      <c r="J79" s="68">
        <f>+MONTH(ExpenseTable[[#This Row],[Voucher Date]])</f>
        <v>1</v>
      </c>
      <c r="K79" s="68" t="s">
        <v>71</v>
      </c>
    </row>
    <row r="80" spans="1:11" x14ac:dyDescent="0.35">
      <c r="A80" s="15">
        <v>45684</v>
      </c>
      <c r="B80" s="11" t="s">
        <v>177</v>
      </c>
      <c r="C80" s="19">
        <v>45674</v>
      </c>
      <c r="D80" s="13" t="s">
        <v>178</v>
      </c>
      <c r="E80" s="12">
        <v>30000</v>
      </c>
      <c r="F80" s="21" t="s">
        <v>40</v>
      </c>
      <c r="G80" s="21" t="s">
        <v>72</v>
      </c>
      <c r="H80" s="21" t="s">
        <v>73</v>
      </c>
      <c r="I80" s="21" t="s">
        <v>1123</v>
      </c>
      <c r="J80" s="68">
        <f>+MONTH(ExpenseTable[[#This Row],[Voucher Date]])</f>
        <v>1</v>
      </c>
      <c r="K80" s="68" t="s">
        <v>71</v>
      </c>
    </row>
    <row r="81" spans="1:11" x14ac:dyDescent="0.35">
      <c r="A81" s="15">
        <v>45666</v>
      </c>
      <c r="B81" s="11" t="s">
        <v>177</v>
      </c>
      <c r="C81" s="19">
        <v>45674</v>
      </c>
      <c r="D81" s="13" t="s">
        <v>118</v>
      </c>
      <c r="E81" s="12">
        <v>34200</v>
      </c>
      <c r="F81" s="21" t="s">
        <v>57</v>
      </c>
      <c r="G81" s="21" t="s">
        <v>66</v>
      </c>
      <c r="H81" s="21" t="s">
        <v>68</v>
      </c>
      <c r="I81" s="21" t="s">
        <v>1123</v>
      </c>
      <c r="J81" s="68">
        <f>+MONTH(ExpenseTable[[#This Row],[Voucher Date]])</f>
        <v>1</v>
      </c>
      <c r="K81" s="68" t="s">
        <v>71</v>
      </c>
    </row>
    <row r="82" spans="1:11" x14ac:dyDescent="0.35">
      <c r="A82" s="15">
        <v>45684</v>
      </c>
      <c r="B82" s="11" t="s">
        <v>177</v>
      </c>
      <c r="C82" s="19">
        <v>45674</v>
      </c>
      <c r="D82" s="13" t="s">
        <v>179</v>
      </c>
      <c r="E82" s="12">
        <v>50000</v>
      </c>
      <c r="F82" s="21" t="s">
        <v>40</v>
      </c>
      <c r="G82" s="21" t="s">
        <v>72</v>
      </c>
      <c r="H82" s="21" t="s">
        <v>73</v>
      </c>
      <c r="I82" s="21" t="s">
        <v>1123</v>
      </c>
      <c r="J82" s="68">
        <f>+MONTH(ExpenseTable[[#This Row],[Voucher Date]])</f>
        <v>1</v>
      </c>
      <c r="K82" s="68" t="s">
        <v>71</v>
      </c>
    </row>
    <row r="83" spans="1:11" x14ac:dyDescent="0.35">
      <c r="A83" s="15">
        <v>45674</v>
      </c>
      <c r="B83" s="11" t="s">
        <v>177</v>
      </c>
      <c r="C83" s="19">
        <v>45674</v>
      </c>
      <c r="D83" s="13" t="s">
        <v>178</v>
      </c>
      <c r="E83" s="12">
        <v>60000</v>
      </c>
      <c r="F83" s="21" t="s">
        <v>40</v>
      </c>
      <c r="G83" s="21" t="s">
        <v>72</v>
      </c>
      <c r="H83" s="21" t="s">
        <v>73</v>
      </c>
      <c r="I83" s="21" t="s">
        <v>1123</v>
      </c>
      <c r="J83" s="68">
        <f>+MONTH(ExpenseTable[[#This Row],[Voucher Date]])</f>
        <v>1</v>
      </c>
      <c r="K83" s="68" t="s">
        <v>71</v>
      </c>
    </row>
    <row r="84" spans="1:11" x14ac:dyDescent="0.35">
      <c r="A84" s="15">
        <v>45666</v>
      </c>
      <c r="B84" s="11" t="s">
        <v>177</v>
      </c>
      <c r="C84" s="19">
        <v>45674</v>
      </c>
      <c r="D84" s="13" t="s">
        <v>178</v>
      </c>
      <c r="E84" s="12">
        <v>75000</v>
      </c>
      <c r="F84" s="21" t="s">
        <v>40</v>
      </c>
      <c r="G84" s="21" t="s">
        <v>72</v>
      </c>
      <c r="H84" s="21" t="s">
        <v>73</v>
      </c>
      <c r="I84" s="21" t="s">
        <v>1123</v>
      </c>
      <c r="J84" s="68">
        <f>+MONTH(ExpenseTable[[#This Row],[Voucher Date]])</f>
        <v>1</v>
      </c>
      <c r="K84" s="68" t="s">
        <v>71</v>
      </c>
    </row>
    <row r="85" spans="1:11" x14ac:dyDescent="0.35">
      <c r="A85" s="15">
        <v>45679</v>
      </c>
      <c r="B85" s="11" t="s">
        <v>180</v>
      </c>
      <c r="C85" s="19">
        <v>45677</v>
      </c>
      <c r="D85" s="13" t="s">
        <v>184</v>
      </c>
      <c r="E85" s="12">
        <v>1000</v>
      </c>
      <c r="F85" s="21" t="s">
        <v>27</v>
      </c>
      <c r="G85" s="21" t="s">
        <v>72</v>
      </c>
      <c r="H85" s="21" t="s">
        <v>73</v>
      </c>
      <c r="I85" s="21" t="s">
        <v>90</v>
      </c>
      <c r="J85" s="68">
        <f>+MONTH(ExpenseTable[[#This Row],[Voucher Date]])</f>
        <v>1</v>
      </c>
      <c r="K85" s="68" t="s">
        <v>71</v>
      </c>
    </row>
    <row r="86" spans="1:11" x14ac:dyDescent="0.35">
      <c r="A86" s="15">
        <v>45678</v>
      </c>
      <c r="B86" s="11" t="s">
        <v>180</v>
      </c>
      <c r="C86" s="19">
        <v>45677</v>
      </c>
      <c r="D86" s="13" t="s">
        <v>182</v>
      </c>
      <c r="E86" s="12">
        <v>2000</v>
      </c>
      <c r="F86" s="21" t="s">
        <v>21</v>
      </c>
      <c r="G86" s="21" t="s">
        <v>72</v>
      </c>
      <c r="H86" s="21" t="s">
        <v>73</v>
      </c>
      <c r="I86" s="21" t="s">
        <v>90</v>
      </c>
      <c r="J86" s="68">
        <f>+MONTH(ExpenseTable[[#This Row],[Voucher Date]])</f>
        <v>1</v>
      </c>
      <c r="K86" s="68" t="s">
        <v>71</v>
      </c>
    </row>
    <row r="87" spans="1:11" x14ac:dyDescent="0.35">
      <c r="A87" s="15">
        <v>45678</v>
      </c>
      <c r="B87" s="11" t="s">
        <v>180</v>
      </c>
      <c r="C87" s="19">
        <v>45677</v>
      </c>
      <c r="D87" s="13" t="s">
        <v>157</v>
      </c>
      <c r="E87" s="12">
        <v>2000</v>
      </c>
      <c r="F87" s="21" t="s">
        <v>54</v>
      </c>
      <c r="G87" s="21" t="s">
        <v>66</v>
      </c>
      <c r="H87" s="21" t="s">
        <v>68</v>
      </c>
      <c r="I87" s="21" t="s">
        <v>90</v>
      </c>
      <c r="J87" s="68">
        <f>+MONTH(ExpenseTable[[#This Row],[Voucher Date]])</f>
        <v>1</v>
      </c>
      <c r="K87" s="68" t="s">
        <v>71</v>
      </c>
    </row>
    <row r="88" spans="1:11" x14ac:dyDescent="0.35">
      <c r="A88" s="15">
        <v>45677</v>
      </c>
      <c r="B88" s="11" t="s">
        <v>180</v>
      </c>
      <c r="C88" s="19">
        <v>45677</v>
      </c>
      <c r="D88" s="13" t="s">
        <v>183</v>
      </c>
      <c r="E88" s="12">
        <v>2200</v>
      </c>
      <c r="F88" s="21" t="s">
        <v>34</v>
      </c>
      <c r="G88" s="21" t="s">
        <v>72</v>
      </c>
      <c r="H88" s="21" t="s">
        <v>73</v>
      </c>
      <c r="I88" s="21" t="s">
        <v>90</v>
      </c>
      <c r="J88" s="68">
        <f>+MONTH(ExpenseTable[[#This Row],[Voucher Date]])</f>
        <v>1</v>
      </c>
      <c r="K88" s="68" t="s">
        <v>71</v>
      </c>
    </row>
    <row r="89" spans="1:11" x14ac:dyDescent="0.35">
      <c r="A89" s="15">
        <v>45678</v>
      </c>
      <c r="B89" s="11" t="s">
        <v>180</v>
      </c>
      <c r="C89" s="19">
        <v>45677</v>
      </c>
      <c r="D89" s="13" t="s">
        <v>157</v>
      </c>
      <c r="E89" s="12">
        <v>3000</v>
      </c>
      <c r="F89" s="21" t="s">
        <v>54</v>
      </c>
      <c r="G89" s="21" t="s">
        <v>66</v>
      </c>
      <c r="H89" s="21" t="s">
        <v>68</v>
      </c>
      <c r="I89" s="21" t="s">
        <v>90</v>
      </c>
      <c r="J89" s="68">
        <f>+MONTH(ExpenseTable[[#This Row],[Voucher Date]])</f>
        <v>1</v>
      </c>
      <c r="K89" s="68" t="s">
        <v>71</v>
      </c>
    </row>
    <row r="90" spans="1:11" x14ac:dyDescent="0.35">
      <c r="A90" s="15">
        <v>45677</v>
      </c>
      <c r="B90" s="11" t="s">
        <v>180</v>
      </c>
      <c r="C90" s="19">
        <v>45677</v>
      </c>
      <c r="D90" s="13" t="s">
        <v>157</v>
      </c>
      <c r="E90" s="12">
        <v>4800</v>
      </c>
      <c r="F90" s="21" t="s">
        <v>54</v>
      </c>
      <c r="G90" s="21" t="s">
        <v>66</v>
      </c>
      <c r="H90" s="21" t="s">
        <v>68</v>
      </c>
      <c r="I90" s="21" t="s">
        <v>90</v>
      </c>
      <c r="J90" s="68">
        <f>+MONTH(ExpenseTable[[#This Row],[Voucher Date]])</f>
        <v>1</v>
      </c>
      <c r="K90" s="68" t="s">
        <v>71</v>
      </c>
    </row>
    <row r="91" spans="1:11" x14ac:dyDescent="0.35">
      <c r="A91" s="15">
        <v>45678</v>
      </c>
      <c r="B91" s="11" t="s">
        <v>180</v>
      </c>
      <c r="C91" s="19">
        <v>45677</v>
      </c>
      <c r="D91" s="13" t="s">
        <v>157</v>
      </c>
      <c r="E91" s="12">
        <v>5000</v>
      </c>
      <c r="F91" s="21" t="s">
        <v>54</v>
      </c>
      <c r="G91" s="21" t="s">
        <v>66</v>
      </c>
      <c r="H91" s="21" t="s">
        <v>68</v>
      </c>
      <c r="I91" s="21" t="s">
        <v>90</v>
      </c>
      <c r="J91" s="68">
        <f>+MONTH(ExpenseTable[[#This Row],[Voucher Date]])</f>
        <v>1</v>
      </c>
      <c r="K91" s="68" t="s">
        <v>71</v>
      </c>
    </row>
    <row r="92" spans="1:11" x14ac:dyDescent="0.35">
      <c r="A92" s="15">
        <v>45678</v>
      </c>
      <c r="B92" s="11" t="s">
        <v>180</v>
      </c>
      <c r="C92" s="19">
        <v>45677</v>
      </c>
      <c r="D92" s="13" t="s">
        <v>181</v>
      </c>
      <c r="E92" s="12">
        <v>5000</v>
      </c>
      <c r="F92" s="21" t="s">
        <v>54</v>
      </c>
      <c r="G92" s="21" t="s">
        <v>66</v>
      </c>
      <c r="H92" s="21" t="s">
        <v>68</v>
      </c>
      <c r="I92" s="21" t="s">
        <v>90</v>
      </c>
      <c r="J92" s="68">
        <f>+MONTH(ExpenseTable[[#This Row],[Voucher Date]])</f>
        <v>1</v>
      </c>
      <c r="K92" s="68" t="s">
        <v>71</v>
      </c>
    </row>
    <row r="93" spans="1:11" x14ac:dyDescent="0.35">
      <c r="A93" s="15">
        <v>45677</v>
      </c>
      <c r="B93" s="11" t="s">
        <v>185</v>
      </c>
      <c r="C93" s="19">
        <v>45677</v>
      </c>
      <c r="D93" s="13" t="s">
        <v>188</v>
      </c>
      <c r="E93" s="12">
        <v>20000</v>
      </c>
      <c r="F93" s="21" t="s">
        <v>1294</v>
      </c>
      <c r="G93" s="21" t="s">
        <v>72</v>
      </c>
      <c r="H93" s="21" t="s">
        <v>73</v>
      </c>
      <c r="I93" s="21" t="s">
        <v>1123</v>
      </c>
      <c r="J93" s="68">
        <f>+MONTH(ExpenseTable[[#This Row],[Voucher Date]])</f>
        <v>1</v>
      </c>
      <c r="K93" s="68" t="s">
        <v>187</v>
      </c>
    </row>
    <row r="94" spans="1:11" x14ac:dyDescent="0.35">
      <c r="A94" s="15">
        <v>45677</v>
      </c>
      <c r="B94" s="11" t="s">
        <v>185</v>
      </c>
      <c r="C94" s="19">
        <v>45677</v>
      </c>
      <c r="D94" s="13" t="s">
        <v>189</v>
      </c>
      <c r="E94" s="12">
        <v>50000</v>
      </c>
      <c r="F94" s="21" t="s">
        <v>40</v>
      </c>
      <c r="G94" s="21" t="s">
        <v>72</v>
      </c>
      <c r="H94" s="21" t="s">
        <v>73</v>
      </c>
      <c r="I94" s="21" t="s">
        <v>1123</v>
      </c>
      <c r="J94" s="68">
        <f>+MONTH(ExpenseTable[[#This Row],[Voucher Date]])</f>
        <v>1</v>
      </c>
      <c r="K94" s="68" t="s">
        <v>71</v>
      </c>
    </row>
    <row r="95" spans="1:11" x14ac:dyDescent="0.35">
      <c r="A95" s="15">
        <v>45677</v>
      </c>
      <c r="B95" s="11" t="s">
        <v>185</v>
      </c>
      <c r="C95" s="19">
        <v>45677</v>
      </c>
      <c r="D95" s="13" t="s">
        <v>186</v>
      </c>
      <c r="E95" s="12">
        <v>100000</v>
      </c>
      <c r="F95" s="21" t="s">
        <v>20</v>
      </c>
      <c r="G95" s="21" t="s">
        <v>72</v>
      </c>
      <c r="H95" s="21" t="s">
        <v>73</v>
      </c>
      <c r="I95" s="21" t="s">
        <v>1123</v>
      </c>
      <c r="J95" s="68">
        <f>+MONTH(ExpenseTable[[#This Row],[Voucher Date]])</f>
        <v>1</v>
      </c>
      <c r="K95" s="68" t="s">
        <v>71</v>
      </c>
    </row>
    <row r="96" spans="1:11" x14ac:dyDescent="0.35">
      <c r="A96" s="15">
        <v>45673</v>
      </c>
      <c r="B96" s="11" t="s">
        <v>845</v>
      </c>
      <c r="C96" s="19">
        <v>45677</v>
      </c>
      <c r="D96" s="13" t="s">
        <v>190</v>
      </c>
      <c r="E96" s="12">
        <v>25100</v>
      </c>
      <c r="F96" s="21" t="s">
        <v>35</v>
      </c>
      <c r="G96" s="21" t="s">
        <v>72</v>
      </c>
      <c r="H96" s="21" t="s">
        <v>73</v>
      </c>
      <c r="I96" s="21" t="s">
        <v>91</v>
      </c>
      <c r="J96" s="68">
        <f>+MONTH(ExpenseTable[[#This Row],[Voucher Date]])</f>
        <v>1</v>
      </c>
      <c r="K96" s="68" t="s">
        <v>71</v>
      </c>
    </row>
    <row r="97" spans="1:11" x14ac:dyDescent="0.35">
      <c r="A97" s="15">
        <v>45677</v>
      </c>
      <c r="B97" s="11" t="s">
        <v>845</v>
      </c>
      <c r="C97" s="19">
        <v>45677</v>
      </c>
      <c r="D97" s="13" t="s">
        <v>191</v>
      </c>
      <c r="E97" s="12">
        <v>100000</v>
      </c>
      <c r="F97" s="21" t="s">
        <v>38</v>
      </c>
      <c r="G97" s="21" t="s">
        <v>72</v>
      </c>
      <c r="H97" s="21" t="s">
        <v>73</v>
      </c>
      <c r="I97" s="21" t="s">
        <v>91</v>
      </c>
      <c r="J97" s="68">
        <f>+MONTH(ExpenseTable[[#This Row],[Voucher Date]])</f>
        <v>1</v>
      </c>
      <c r="K97" s="68" t="s">
        <v>71</v>
      </c>
    </row>
    <row r="98" spans="1:11" x14ac:dyDescent="0.35">
      <c r="A98" s="15">
        <v>45659</v>
      </c>
      <c r="B98" s="11" t="s">
        <v>1002</v>
      </c>
      <c r="C98" s="19">
        <v>45679</v>
      </c>
      <c r="D98" s="13" t="s">
        <v>118</v>
      </c>
      <c r="E98" s="12">
        <v>1083000</v>
      </c>
      <c r="F98" s="21" t="s">
        <v>57</v>
      </c>
      <c r="G98" s="21" t="s">
        <v>72</v>
      </c>
      <c r="H98" s="21" t="s">
        <v>73</v>
      </c>
      <c r="I98" s="21" t="s">
        <v>1123</v>
      </c>
      <c r="J98" s="68">
        <f>+MONTH(ExpenseTable[[#This Row],[Voucher Date]])</f>
        <v>1</v>
      </c>
      <c r="K98" s="68" t="s">
        <v>71</v>
      </c>
    </row>
    <row r="99" spans="1:11" x14ac:dyDescent="0.35">
      <c r="A99" s="15">
        <v>45685</v>
      </c>
      <c r="B99" s="11" t="s">
        <v>192</v>
      </c>
      <c r="C99" s="19">
        <v>45681</v>
      </c>
      <c r="D99" s="13" t="s">
        <v>195</v>
      </c>
      <c r="E99" s="12">
        <v>1500</v>
      </c>
      <c r="F99" s="21" t="s">
        <v>27</v>
      </c>
      <c r="G99" s="21" t="s">
        <v>72</v>
      </c>
      <c r="H99" s="21" t="s">
        <v>73</v>
      </c>
      <c r="I99" s="21" t="s">
        <v>90</v>
      </c>
      <c r="J99" s="68">
        <f>+MONTH(ExpenseTable[[#This Row],[Voucher Date]])</f>
        <v>1</v>
      </c>
      <c r="K99" s="68" t="s">
        <v>71</v>
      </c>
    </row>
    <row r="100" spans="1:11" x14ac:dyDescent="0.35">
      <c r="A100" s="15">
        <v>45681</v>
      </c>
      <c r="B100" s="11" t="s">
        <v>192</v>
      </c>
      <c r="C100" s="19">
        <v>45681</v>
      </c>
      <c r="D100" s="13" t="s">
        <v>194</v>
      </c>
      <c r="E100" s="12">
        <v>2000</v>
      </c>
      <c r="F100" s="21" t="s">
        <v>27</v>
      </c>
      <c r="G100" s="21" t="s">
        <v>72</v>
      </c>
      <c r="H100" s="21" t="s">
        <v>73</v>
      </c>
      <c r="I100" s="21" t="s">
        <v>90</v>
      </c>
      <c r="J100" s="68">
        <f>+MONTH(ExpenseTable[[#This Row],[Voucher Date]])</f>
        <v>1</v>
      </c>
      <c r="K100" s="68" t="s">
        <v>71</v>
      </c>
    </row>
    <row r="101" spans="1:11" x14ac:dyDescent="0.35">
      <c r="A101" s="15">
        <v>45685</v>
      </c>
      <c r="B101" s="11" t="s">
        <v>192</v>
      </c>
      <c r="C101" s="19">
        <v>45681</v>
      </c>
      <c r="D101" s="13" t="s">
        <v>193</v>
      </c>
      <c r="E101" s="12">
        <v>6000</v>
      </c>
      <c r="F101" s="21" t="s">
        <v>21</v>
      </c>
      <c r="G101" s="21" t="s">
        <v>65</v>
      </c>
      <c r="H101" s="21" t="s">
        <v>78</v>
      </c>
      <c r="I101" s="21" t="s">
        <v>90</v>
      </c>
      <c r="J101" s="68">
        <f>+MONTH(ExpenseTable[[#This Row],[Voucher Date]])</f>
        <v>1</v>
      </c>
      <c r="K101" s="68" t="s">
        <v>71</v>
      </c>
    </row>
    <row r="102" spans="1:11" x14ac:dyDescent="0.35">
      <c r="A102" s="15">
        <v>45677</v>
      </c>
      <c r="B102" s="11" t="s">
        <v>192</v>
      </c>
      <c r="C102" s="19">
        <v>45681</v>
      </c>
      <c r="D102" s="13" t="s">
        <v>190</v>
      </c>
      <c r="E102" s="12">
        <v>25000</v>
      </c>
      <c r="F102" s="21" t="s">
        <v>35</v>
      </c>
      <c r="G102" s="21" t="s">
        <v>72</v>
      </c>
      <c r="H102" s="21" t="s">
        <v>73</v>
      </c>
      <c r="I102" s="21" t="s">
        <v>90</v>
      </c>
      <c r="J102" s="68">
        <f>+MONTH(ExpenseTable[[#This Row],[Voucher Date]])</f>
        <v>1</v>
      </c>
      <c r="K102" s="68" t="s">
        <v>71</v>
      </c>
    </row>
    <row r="103" spans="1:11" x14ac:dyDescent="0.35">
      <c r="A103" s="15">
        <v>45685</v>
      </c>
      <c r="B103" s="11" t="s">
        <v>846</v>
      </c>
      <c r="C103" s="19">
        <v>45681</v>
      </c>
      <c r="D103" s="13" t="s">
        <v>198</v>
      </c>
      <c r="E103" s="12">
        <v>57000</v>
      </c>
      <c r="F103" s="21" t="s">
        <v>23</v>
      </c>
      <c r="G103" s="21" t="s">
        <v>72</v>
      </c>
      <c r="H103" s="21" t="s">
        <v>73</v>
      </c>
      <c r="I103" s="21" t="s">
        <v>91</v>
      </c>
      <c r="J103" s="68">
        <f>+MONTH(ExpenseTable[[#This Row],[Voucher Date]])</f>
        <v>1</v>
      </c>
      <c r="K103" s="68" t="s">
        <v>71</v>
      </c>
    </row>
    <row r="104" spans="1:11" x14ac:dyDescent="0.35">
      <c r="A104" s="15" t="s">
        <v>196</v>
      </c>
      <c r="B104" s="11" t="s">
        <v>846</v>
      </c>
      <c r="C104" s="19">
        <v>45681</v>
      </c>
      <c r="D104" s="13" t="s">
        <v>197</v>
      </c>
      <c r="E104" s="12">
        <v>64000</v>
      </c>
      <c r="F104" s="21" t="s">
        <v>23</v>
      </c>
      <c r="G104" s="21" t="s">
        <v>72</v>
      </c>
      <c r="H104" s="21" t="s">
        <v>73</v>
      </c>
      <c r="I104" s="21" t="s">
        <v>91</v>
      </c>
      <c r="J104" s="68">
        <f>+MONTH(ExpenseTable[[#This Row],[Voucher Date]])</f>
        <v>1</v>
      </c>
      <c r="K104" s="68" t="s">
        <v>71</v>
      </c>
    </row>
    <row r="105" spans="1:11" x14ac:dyDescent="0.35">
      <c r="A105" s="15">
        <v>45700</v>
      </c>
      <c r="B105" s="11" t="s">
        <v>199</v>
      </c>
      <c r="C105" s="19">
        <v>45687</v>
      </c>
      <c r="D105" s="13" t="s">
        <v>201</v>
      </c>
      <c r="E105" s="12">
        <v>3000</v>
      </c>
      <c r="F105" s="21" t="s">
        <v>54</v>
      </c>
      <c r="G105" s="21" t="s">
        <v>72</v>
      </c>
      <c r="H105" s="21" t="s">
        <v>73</v>
      </c>
      <c r="I105" s="21" t="s">
        <v>1123</v>
      </c>
      <c r="J105" s="68">
        <f>+MONTH(ExpenseTable[[#This Row],[Voucher Date]])</f>
        <v>1</v>
      </c>
      <c r="K105" s="68" t="s">
        <v>187</v>
      </c>
    </row>
    <row r="106" spans="1:11" x14ac:dyDescent="0.35">
      <c r="A106" s="15">
        <v>45687</v>
      </c>
      <c r="B106" s="11" t="s">
        <v>199</v>
      </c>
      <c r="C106" s="19">
        <v>45687</v>
      </c>
      <c r="D106" s="13" t="s">
        <v>202</v>
      </c>
      <c r="E106" s="12">
        <v>5000</v>
      </c>
      <c r="F106" s="21" t="s">
        <v>35</v>
      </c>
      <c r="G106" s="21" t="s">
        <v>72</v>
      </c>
      <c r="H106" s="21" t="s">
        <v>73</v>
      </c>
      <c r="I106" s="21" t="s">
        <v>1123</v>
      </c>
      <c r="J106" s="68">
        <f>+MONTH(ExpenseTable[[#This Row],[Voucher Date]])</f>
        <v>1</v>
      </c>
      <c r="K106" s="68" t="s">
        <v>187</v>
      </c>
    </row>
    <row r="107" spans="1:11" x14ac:dyDescent="0.35">
      <c r="A107" s="15">
        <v>45692</v>
      </c>
      <c r="B107" s="11" t="s">
        <v>199</v>
      </c>
      <c r="C107" s="19">
        <v>45687</v>
      </c>
      <c r="D107" s="13" t="s">
        <v>193</v>
      </c>
      <c r="E107" s="12">
        <v>6600</v>
      </c>
      <c r="F107" s="21" t="s">
        <v>54</v>
      </c>
      <c r="G107" s="21" t="s">
        <v>65</v>
      </c>
      <c r="H107" s="21" t="s">
        <v>78</v>
      </c>
      <c r="I107" s="21" t="s">
        <v>1123</v>
      </c>
      <c r="J107" s="68">
        <f>+MONTH(ExpenseTable[[#This Row],[Voucher Date]])</f>
        <v>1</v>
      </c>
      <c r="K107" s="68" t="s">
        <v>187</v>
      </c>
    </row>
    <row r="108" spans="1:11" x14ac:dyDescent="0.35">
      <c r="A108" s="15">
        <v>45692</v>
      </c>
      <c r="B108" s="11" t="s">
        <v>199</v>
      </c>
      <c r="C108" s="19">
        <v>45687</v>
      </c>
      <c r="D108" s="13" t="s">
        <v>200</v>
      </c>
      <c r="E108" s="12">
        <v>15000</v>
      </c>
      <c r="F108" s="21" t="s">
        <v>54</v>
      </c>
      <c r="G108" s="21" t="s">
        <v>72</v>
      </c>
      <c r="H108" s="21" t="s">
        <v>73</v>
      </c>
      <c r="I108" s="21" t="s">
        <v>1123</v>
      </c>
      <c r="J108" s="68">
        <f>+MONTH(ExpenseTable[[#This Row],[Voucher Date]])</f>
        <v>1</v>
      </c>
      <c r="K108" s="68" t="s">
        <v>187</v>
      </c>
    </row>
    <row r="109" spans="1:11" x14ac:dyDescent="0.35">
      <c r="A109" s="15">
        <v>45693</v>
      </c>
      <c r="B109" s="11" t="s">
        <v>199</v>
      </c>
      <c r="C109" s="19">
        <v>45687</v>
      </c>
      <c r="D109" s="13" t="s">
        <v>178</v>
      </c>
      <c r="E109" s="12">
        <v>15000</v>
      </c>
      <c r="F109" s="21" t="s">
        <v>40</v>
      </c>
      <c r="G109" s="21" t="s">
        <v>72</v>
      </c>
      <c r="H109" s="21" t="s">
        <v>73</v>
      </c>
      <c r="I109" s="21" t="s">
        <v>1123</v>
      </c>
      <c r="J109" s="68">
        <f>+MONTH(ExpenseTable[[#This Row],[Voucher Date]])</f>
        <v>1</v>
      </c>
      <c r="K109" s="68" t="s">
        <v>187</v>
      </c>
    </row>
    <row r="110" spans="1:11" x14ac:dyDescent="0.35">
      <c r="A110" s="15">
        <v>45699</v>
      </c>
      <c r="B110" s="11" t="s">
        <v>199</v>
      </c>
      <c r="C110" s="19">
        <v>45687</v>
      </c>
      <c r="D110" s="13" t="s">
        <v>176</v>
      </c>
      <c r="E110" s="12">
        <v>35000</v>
      </c>
      <c r="F110" s="21" t="s">
        <v>29</v>
      </c>
      <c r="G110" s="21" t="s">
        <v>72</v>
      </c>
      <c r="H110" s="21" t="s">
        <v>73</v>
      </c>
      <c r="I110" s="21" t="s">
        <v>1123</v>
      </c>
      <c r="J110" s="68">
        <f>+MONTH(ExpenseTable[[#This Row],[Voucher Date]])</f>
        <v>1</v>
      </c>
      <c r="K110" s="68" t="s">
        <v>187</v>
      </c>
    </row>
    <row r="111" spans="1:11" x14ac:dyDescent="0.35">
      <c r="A111" s="15">
        <v>45689</v>
      </c>
      <c r="B111" s="11" t="s">
        <v>199</v>
      </c>
      <c r="C111" s="19">
        <v>45687</v>
      </c>
      <c r="D111" s="13" t="s">
        <v>189</v>
      </c>
      <c r="E111" s="12">
        <v>50000</v>
      </c>
      <c r="F111" s="21" t="s">
        <v>40</v>
      </c>
      <c r="G111" s="21" t="s">
        <v>72</v>
      </c>
      <c r="H111" s="21" t="s">
        <v>73</v>
      </c>
      <c r="I111" s="21" t="s">
        <v>1123</v>
      </c>
      <c r="J111" s="68">
        <f>+MONTH(ExpenseTable[[#This Row],[Voucher Date]])</f>
        <v>1</v>
      </c>
      <c r="K111" s="68" t="s">
        <v>187</v>
      </c>
    </row>
    <row r="112" spans="1:11" x14ac:dyDescent="0.35">
      <c r="A112" s="15">
        <v>45695</v>
      </c>
      <c r="B112" s="11" t="s">
        <v>199</v>
      </c>
      <c r="C112" s="19">
        <v>45687</v>
      </c>
      <c r="D112" s="13" t="s">
        <v>178</v>
      </c>
      <c r="E112" s="12">
        <v>50000</v>
      </c>
      <c r="F112" s="21" t="s">
        <v>40</v>
      </c>
      <c r="G112" s="21" t="s">
        <v>72</v>
      </c>
      <c r="H112" s="21" t="s">
        <v>73</v>
      </c>
      <c r="I112" s="21" t="s">
        <v>1123</v>
      </c>
      <c r="J112" s="68">
        <f>+MONTH(ExpenseTable[[#This Row],[Voucher Date]])</f>
        <v>1</v>
      </c>
      <c r="K112" s="68" t="s">
        <v>187</v>
      </c>
    </row>
    <row r="113" spans="1:11" x14ac:dyDescent="0.35">
      <c r="A113" s="15">
        <v>45694</v>
      </c>
      <c r="B113" s="11" t="s">
        <v>203</v>
      </c>
      <c r="C113" s="19">
        <v>45689</v>
      </c>
      <c r="D113" s="13" t="s">
        <v>182</v>
      </c>
      <c r="E113" s="12">
        <v>2000</v>
      </c>
      <c r="F113" s="21" t="s">
        <v>21</v>
      </c>
      <c r="G113" s="21" t="s">
        <v>72</v>
      </c>
      <c r="H113" s="21" t="s">
        <v>73</v>
      </c>
      <c r="I113" s="21" t="s">
        <v>90</v>
      </c>
      <c r="J113" s="68">
        <f>+MONTH(ExpenseTable[[#This Row],[Voucher Date]])</f>
        <v>2</v>
      </c>
      <c r="K113" s="68" t="s">
        <v>187</v>
      </c>
    </row>
    <row r="114" spans="1:11" x14ac:dyDescent="0.35">
      <c r="A114" s="15">
        <v>45689</v>
      </c>
      <c r="B114" s="11" t="s">
        <v>203</v>
      </c>
      <c r="C114" s="19">
        <v>45689</v>
      </c>
      <c r="D114" s="13" t="s">
        <v>204</v>
      </c>
      <c r="E114" s="12">
        <v>8000</v>
      </c>
      <c r="F114" s="21" t="s">
        <v>54</v>
      </c>
      <c r="G114" s="21" t="s">
        <v>66</v>
      </c>
      <c r="H114" s="21" t="s">
        <v>68</v>
      </c>
      <c r="I114" s="21" t="s">
        <v>90</v>
      </c>
      <c r="J114" s="68">
        <f>+MONTH(ExpenseTable[[#This Row],[Voucher Date]])</f>
        <v>2</v>
      </c>
      <c r="K114" s="68" t="s">
        <v>187</v>
      </c>
    </row>
    <row r="115" spans="1:11" x14ac:dyDescent="0.35">
      <c r="A115" s="15">
        <v>45692</v>
      </c>
      <c r="B115" s="11" t="s">
        <v>203</v>
      </c>
      <c r="C115" s="19">
        <v>45689</v>
      </c>
      <c r="D115" s="13" t="s">
        <v>204</v>
      </c>
      <c r="E115" s="12">
        <v>8400</v>
      </c>
      <c r="F115" s="21" t="s">
        <v>54</v>
      </c>
      <c r="G115" s="21" t="s">
        <v>66</v>
      </c>
      <c r="H115" s="21" t="s">
        <v>68</v>
      </c>
      <c r="I115" s="21" t="s">
        <v>90</v>
      </c>
      <c r="J115" s="68">
        <f>+MONTH(ExpenseTable[[#This Row],[Voucher Date]])</f>
        <v>2</v>
      </c>
      <c r="K115" s="68" t="s">
        <v>187</v>
      </c>
    </row>
    <row r="116" spans="1:11" x14ac:dyDescent="0.35">
      <c r="A116" s="15">
        <v>45692</v>
      </c>
      <c r="B116" s="11" t="s">
        <v>203</v>
      </c>
      <c r="C116" s="19">
        <v>45689</v>
      </c>
      <c r="D116" s="13" t="s">
        <v>207</v>
      </c>
      <c r="E116" s="12">
        <v>9500</v>
      </c>
      <c r="F116" s="21" t="s">
        <v>31</v>
      </c>
      <c r="G116" s="21" t="s">
        <v>72</v>
      </c>
      <c r="H116" s="21" t="s">
        <v>73</v>
      </c>
      <c r="I116" s="21" t="s">
        <v>90</v>
      </c>
      <c r="J116" s="68">
        <f>+MONTH(ExpenseTable[[#This Row],[Voucher Date]])</f>
        <v>2</v>
      </c>
      <c r="K116" s="68" t="s">
        <v>187</v>
      </c>
    </row>
    <row r="117" spans="1:11" x14ac:dyDescent="0.35">
      <c r="A117" s="15">
        <v>45693</v>
      </c>
      <c r="B117" s="11" t="s">
        <v>203</v>
      </c>
      <c r="C117" s="19">
        <v>45689</v>
      </c>
      <c r="D117" s="13" t="s">
        <v>206</v>
      </c>
      <c r="E117" s="12">
        <v>10000</v>
      </c>
      <c r="F117" s="21" t="s">
        <v>57</v>
      </c>
      <c r="G117" s="21" t="s">
        <v>72</v>
      </c>
      <c r="H117" s="21" t="s">
        <v>73</v>
      </c>
      <c r="I117" s="21" t="s">
        <v>90</v>
      </c>
      <c r="J117" s="68">
        <f>+MONTH(ExpenseTable[[#This Row],[Voucher Date]])</f>
        <v>2</v>
      </c>
      <c r="K117" s="68" t="s">
        <v>187</v>
      </c>
    </row>
    <row r="118" spans="1:11" x14ac:dyDescent="0.35">
      <c r="A118" s="15">
        <v>45691</v>
      </c>
      <c r="B118" s="11" t="s">
        <v>203</v>
      </c>
      <c r="C118" s="19">
        <v>45689</v>
      </c>
      <c r="D118" s="13" t="s">
        <v>193</v>
      </c>
      <c r="E118" s="12">
        <v>10000</v>
      </c>
      <c r="F118" s="21" t="s">
        <v>54</v>
      </c>
      <c r="G118" s="21" t="s">
        <v>65</v>
      </c>
      <c r="H118" s="21" t="s">
        <v>78</v>
      </c>
      <c r="I118" s="21" t="s">
        <v>90</v>
      </c>
      <c r="J118" s="68">
        <f>+MONTH(ExpenseTable[[#This Row],[Voucher Date]])</f>
        <v>2</v>
      </c>
      <c r="K118" s="68" t="s">
        <v>187</v>
      </c>
    </row>
    <row r="119" spans="1:11" x14ac:dyDescent="0.35">
      <c r="A119" s="15">
        <v>45693</v>
      </c>
      <c r="B119" s="11" t="s">
        <v>203</v>
      </c>
      <c r="C119" s="19">
        <v>45689</v>
      </c>
      <c r="D119" s="13" t="s">
        <v>205</v>
      </c>
      <c r="E119" s="12">
        <v>18000</v>
      </c>
      <c r="F119" s="21" t="s">
        <v>22</v>
      </c>
      <c r="G119" s="21" t="s">
        <v>72</v>
      </c>
      <c r="H119" s="21" t="s">
        <v>73</v>
      </c>
      <c r="I119" s="21" t="s">
        <v>90</v>
      </c>
      <c r="J119" s="68">
        <f>+MONTH(ExpenseTable[[#This Row],[Voucher Date]])</f>
        <v>2</v>
      </c>
      <c r="K119" s="68" t="s">
        <v>187</v>
      </c>
    </row>
    <row r="120" spans="1:11" x14ac:dyDescent="0.35">
      <c r="A120" s="15">
        <v>45689</v>
      </c>
      <c r="B120" s="11" t="s">
        <v>203</v>
      </c>
      <c r="C120" s="19">
        <v>45689</v>
      </c>
      <c r="D120" s="13" t="s">
        <v>171</v>
      </c>
      <c r="E120" s="12">
        <v>20000</v>
      </c>
      <c r="F120" s="21" t="s">
        <v>40</v>
      </c>
      <c r="G120" s="21" t="s">
        <v>72</v>
      </c>
      <c r="H120" s="21" t="s">
        <v>73</v>
      </c>
      <c r="I120" s="21" t="s">
        <v>90</v>
      </c>
      <c r="J120" s="68">
        <f>+MONTH(ExpenseTable[[#This Row],[Voucher Date]])</f>
        <v>2</v>
      </c>
      <c r="K120" s="68" t="s">
        <v>187</v>
      </c>
    </row>
    <row r="121" spans="1:11" x14ac:dyDescent="0.35">
      <c r="A121" s="15">
        <v>45692</v>
      </c>
      <c r="B121" s="11" t="s">
        <v>208</v>
      </c>
      <c r="C121" s="19">
        <v>45692</v>
      </c>
      <c r="D121" s="13" t="s">
        <v>209</v>
      </c>
      <c r="E121" s="12">
        <v>20000</v>
      </c>
      <c r="F121" s="21" t="s">
        <v>20</v>
      </c>
      <c r="G121" s="21" t="s">
        <v>72</v>
      </c>
      <c r="H121" s="21" t="s">
        <v>73</v>
      </c>
      <c r="I121" s="21" t="s">
        <v>91</v>
      </c>
      <c r="J121" s="68">
        <f>+MONTH(ExpenseTable[[#This Row],[Voucher Date]])</f>
        <v>2</v>
      </c>
      <c r="K121" s="68" t="s">
        <v>187</v>
      </c>
    </row>
    <row r="122" spans="1:11" x14ac:dyDescent="0.35">
      <c r="A122" s="15">
        <v>45692</v>
      </c>
      <c r="B122" s="11" t="s">
        <v>208</v>
      </c>
      <c r="C122" s="19">
        <v>45692</v>
      </c>
      <c r="D122" s="13" t="s">
        <v>210</v>
      </c>
      <c r="E122" s="12">
        <v>30000</v>
      </c>
      <c r="F122" s="21" t="s">
        <v>4</v>
      </c>
      <c r="G122" s="21" t="s">
        <v>72</v>
      </c>
      <c r="H122" s="21" t="s">
        <v>73</v>
      </c>
      <c r="I122" s="21" t="s">
        <v>91</v>
      </c>
      <c r="J122" s="68">
        <f>+MONTH(ExpenseTable[[#This Row],[Voucher Date]])</f>
        <v>2</v>
      </c>
      <c r="K122" s="68" t="s">
        <v>187</v>
      </c>
    </row>
    <row r="123" spans="1:11" x14ac:dyDescent="0.35">
      <c r="A123" s="15">
        <v>45692</v>
      </c>
      <c r="B123" s="11" t="s">
        <v>208</v>
      </c>
      <c r="C123" s="19">
        <v>45692</v>
      </c>
      <c r="D123" s="13" t="s">
        <v>211</v>
      </c>
      <c r="E123" s="12">
        <v>40000</v>
      </c>
      <c r="F123" s="21" t="s">
        <v>30</v>
      </c>
      <c r="G123" s="21" t="s">
        <v>72</v>
      </c>
      <c r="H123" s="21" t="s">
        <v>73</v>
      </c>
      <c r="I123" s="21" t="s">
        <v>91</v>
      </c>
      <c r="J123" s="68">
        <f>+MONTH(ExpenseTable[[#This Row],[Voucher Date]])</f>
        <v>2</v>
      </c>
      <c r="K123" s="68" t="s">
        <v>187</v>
      </c>
    </row>
    <row r="124" spans="1:11" x14ac:dyDescent="0.35">
      <c r="A124" s="15">
        <v>45692</v>
      </c>
      <c r="B124" s="11" t="s">
        <v>208</v>
      </c>
      <c r="C124" s="19">
        <v>45692</v>
      </c>
      <c r="D124" s="13" t="s">
        <v>847</v>
      </c>
      <c r="E124" s="12">
        <v>50000</v>
      </c>
      <c r="F124" s="21" t="s">
        <v>29</v>
      </c>
      <c r="G124" s="21" t="s">
        <v>72</v>
      </c>
      <c r="H124" s="21" t="s">
        <v>73</v>
      </c>
      <c r="I124" s="21" t="s">
        <v>91</v>
      </c>
      <c r="J124" s="68">
        <f>+MONTH(ExpenseTable[[#This Row],[Voucher Date]])</f>
        <v>2</v>
      </c>
      <c r="K124" s="68" t="s">
        <v>187</v>
      </c>
    </row>
    <row r="125" spans="1:11" x14ac:dyDescent="0.35">
      <c r="A125" s="15">
        <v>45692</v>
      </c>
      <c r="B125" s="11" t="s">
        <v>208</v>
      </c>
      <c r="C125" s="19">
        <v>45692</v>
      </c>
      <c r="D125" s="13" t="s">
        <v>212</v>
      </c>
      <c r="E125" s="12">
        <v>75000</v>
      </c>
      <c r="F125" s="21" t="s">
        <v>42</v>
      </c>
      <c r="G125" s="21" t="s">
        <v>72</v>
      </c>
      <c r="H125" s="21" t="s">
        <v>73</v>
      </c>
      <c r="I125" s="21" t="s">
        <v>91</v>
      </c>
      <c r="J125" s="68">
        <f>+MONTH(ExpenseTable[[#This Row],[Voucher Date]])</f>
        <v>2</v>
      </c>
      <c r="K125" s="68" t="s">
        <v>187</v>
      </c>
    </row>
    <row r="126" spans="1:11" x14ac:dyDescent="0.35">
      <c r="A126" s="15">
        <v>45699</v>
      </c>
      <c r="B126" s="11" t="s">
        <v>213</v>
      </c>
      <c r="C126" s="19">
        <v>45694</v>
      </c>
      <c r="D126" s="13" t="s">
        <v>215</v>
      </c>
      <c r="E126" s="12">
        <v>3000</v>
      </c>
      <c r="F126" s="21" t="s">
        <v>34</v>
      </c>
      <c r="G126" s="21" t="s">
        <v>72</v>
      </c>
      <c r="H126" s="21" t="s">
        <v>73</v>
      </c>
      <c r="I126" s="21" t="s">
        <v>90</v>
      </c>
      <c r="J126" s="68">
        <f>+MONTH(ExpenseTable[[#This Row],[Voucher Date]])</f>
        <v>2</v>
      </c>
      <c r="K126" s="68" t="s">
        <v>187</v>
      </c>
    </row>
    <row r="127" spans="1:11" x14ac:dyDescent="0.35">
      <c r="A127" s="15">
        <v>45699</v>
      </c>
      <c r="B127" s="11" t="s">
        <v>213</v>
      </c>
      <c r="C127" s="19">
        <v>45694</v>
      </c>
      <c r="D127" s="13" t="s">
        <v>216</v>
      </c>
      <c r="E127" s="12">
        <v>3000</v>
      </c>
      <c r="F127" s="21" t="s">
        <v>22</v>
      </c>
      <c r="G127" s="21" t="s">
        <v>72</v>
      </c>
      <c r="H127" s="21" t="s">
        <v>73</v>
      </c>
      <c r="I127" s="21" t="s">
        <v>90</v>
      </c>
      <c r="J127" s="68">
        <f>+MONTH(ExpenseTable[[#This Row],[Voucher Date]])</f>
        <v>2</v>
      </c>
      <c r="K127" s="68" t="s">
        <v>187</v>
      </c>
    </row>
    <row r="128" spans="1:11" x14ac:dyDescent="0.35">
      <c r="A128" s="15">
        <v>45699</v>
      </c>
      <c r="B128" s="11" t="s">
        <v>213</v>
      </c>
      <c r="C128" s="19">
        <v>45694</v>
      </c>
      <c r="D128" s="13" t="s">
        <v>193</v>
      </c>
      <c r="E128" s="12">
        <v>3300</v>
      </c>
      <c r="F128" s="21" t="s">
        <v>54</v>
      </c>
      <c r="G128" s="21" t="s">
        <v>65</v>
      </c>
      <c r="H128" s="21" t="s">
        <v>78</v>
      </c>
      <c r="I128" s="21" t="s">
        <v>90</v>
      </c>
      <c r="J128" s="68">
        <f>+MONTH(ExpenseTable[[#This Row],[Voucher Date]])</f>
        <v>2</v>
      </c>
      <c r="K128" s="68" t="s">
        <v>187</v>
      </c>
    </row>
    <row r="129" spans="1:11" x14ac:dyDescent="0.35">
      <c r="A129" s="15">
        <v>45694</v>
      </c>
      <c r="B129" s="11" t="s">
        <v>213</v>
      </c>
      <c r="C129" s="19">
        <v>45694</v>
      </c>
      <c r="D129" s="13" t="s">
        <v>193</v>
      </c>
      <c r="E129" s="12">
        <v>5000</v>
      </c>
      <c r="F129" s="21" t="s">
        <v>54</v>
      </c>
      <c r="G129" s="21" t="s">
        <v>65</v>
      </c>
      <c r="H129" s="21" t="s">
        <v>78</v>
      </c>
      <c r="I129" s="21" t="s">
        <v>90</v>
      </c>
      <c r="J129" s="68">
        <f>+MONTH(ExpenseTable[[#This Row],[Voucher Date]])</f>
        <v>2</v>
      </c>
      <c r="K129" s="68" t="s">
        <v>187</v>
      </c>
    </row>
    <row r="130" spans="1:11" x14ac:dyDescent="0.35">
      <c r="A130" s="15">
        <v>45695</v>
      </c>
      <c r="B130" s="11" t="s">
        <v>213</v>
      </c>
      <c r="C130" s="19">
        <v>45694</v>
      </c>
      <c r="D130" s="13" t="s">
        <v>204</v>
      </c>
      <c r="E130" s="12">
        <v>5700</v>
      </c>
      <c r="F130" s="21" t="s">
        <v>54</v>
      </c>
      <c r="G130" s="21" t="s">
        <v>66</v>
      </c>
      <c r="H130" s="21" t="s">
        <v>68</v>
      </c>
      <c r="I130" s="21" t="s">
        <v>90</v>
      </c>
      <c r="J130" s="68">
        <f>+MONTH(ExpenseTable[[#This Row],[Voucher Date]])</f>
        <v>2</v>
      </c>
      <c r="K130" s="68" t="s">
        <v>187</v>
      </c>
    </row>
    <row r="131" spans="1:11" x14ac:dyDescent="0.35">
      <c r="A131" s="15">
        <v>45698</v>
      </c>
      <c r="B131" s="11" t="s">
        <v>213</v>
      </c>
      <c r="C131" s="19">
        <v>45694</v>
      </c>
      <c r="D131" s="13" t="s">
        <v>204</v>
      </c>
      <c r="E131" s="12">
        <v>5700</v>
      </c>
      <c r="F131" s="21" t="s">
        <v>54</v>
      </c>
      <c r="G131" s="21" t="s">
        <v>66</v>
      </c>
      <c r="H131" s="21" t="s">
        <v>68</v>
      </c>
      <c r="I131" s="21" t="s">
        <v>90</v>
      </c>
      <c r="J131" s="68">
        <f>+MONTH(ExpenseTable[[#This Row],[Voucher Date]])</f>
        <v>2</v>
      </c>
      <c r="K131" s="68" t="s">
        <v>187</v>
      </c>
    </row>
    <row r="132" spans="1:11" x14ac:dyDescent="0.35">
      <c r="A132" s="15">
        <v>45699</v>
      </c>
      <c r="B132" s="11" t="s">
        <v>213</v>
      </c>
      <c r="C132" s="19">
        <v>45694</v>
      </c>
      <c r="D132" s="13" t="s">
        <v>214</v>
      </c>
      <c r="E132" s="12">
        <v>10000</v>
      </c>
      <c r="F132" s="21" t="s">
        <v>54</v>
      </c>
      <c r="G132" s="21" t="s">
        <v>66</v>
      </c>
      <c r="H132" s="21" t="s">
        <v>68</v>
      </c>
      <c r="I132" s="21" t="s">
        <v>90</v>
      </c>
      <c r="J132" s="68">
        <f>+MONTH(ExpenseTable[[#This Row],[Voucher Date]])</f>
        <v>2</v>
      </c>
      <c r="K132" s="68" t="s">
        <v>187</v>
      </c>
    </row>
    <row r="133" spans="1:11" x14ac:dyDescent="0.35">
      <c r="A133" s="15">
        <v>45694</v>
      </c>
      <c r="B133" s="11" t="s">
        <v>213</v>
      </c>
      <c r="C133" s="19">
        <v>45694</v>
      </c>
      <c r="D133" s="13" t="s">
        <v>133</v>
      </c>
      <c r="E133" s="12">
        <v>20000</v>
      </c>
      <c r="F133" s="21" t="s">
        <v>32</v>
      </c>
      <c r="G133" s="21" t="s">
        <v>72</v>
      </c>
      <c r="H133" s="21" t="s">
        <v>73</v>
      </c>
      <c r="I133" s="21" t="s">
        <v>90</v>
      </c>
      <c r="J133" s="68">
        <f>+MONTH(ExpenseTable[[#This Row],[Voucher Date]])</f>
        <v>2</v>
      </c>
      <c r="K133" s="68" t="s">
        <v>187</v>
      </c>
    </row>
    <row r="134" spans="1:11" x14ac:dyDescent="0.35">
      <c r="A134" s="15">
        <v>45706</v>
      </c>
      <c r="B134" s="11" t="s">
        <v>217</v>
      </c>
      <c r="C134" s="19">
        <v>45700</v>
      </c>
      <c r="D134" s="13" t="s">
        <v>220</v>
      </c>
      <c r="E134" s="12">
        <v>200</v>
      </c>
      <c r="F134" s="21" t="s">
        <v>21</v>
      </c>
      <c r="G134" s="21" t="s">
        <v>72</v>
      </c>
      <c r="H134" s="21" t="s">
        <v>73</v>
      </c>
      <c r="I134" s="21" t="s">
        <v>90</v>
      </c>
      <c r="J134" s="68">
        <f>+MONTH(ExpenseTable[[#This Row],[Voucher Date]])</f>
        <v>2</v>
      </c>
      <c r="K134" s="68" t="s">
        <v>187</v>
      </c>
    </row>
    <row r="135" spans="1:11" x14ac:dyDescent="0.35">
      <c r="A135" s="15">
        <v>45701</v>
      </c>
      <c r="B135" s="11" t="s">
        <v>217</v>
      </c>
      <c r="C135" s="19">
        <v>45700</v>
      </c>
      <c r="D135" s="13" t="s">
        <v>219</v>
      </c>
      <c r="E135" s="12">
        <v>2400</v>
      </c>
      <c r="F135" s="21" t="s">
        <v>54</v>
      </c>
      <c r="G135" s="21" t="s">
        <v>72</v>
      </c>
      <c r="H135" s="21" t="s">
        <v>73</v>
      </c>
      <c r="I135" s="21" t="s">
        <v>90</v>
      </c>
      <c r="J135" s="68">
        <f>+MONTH(ExpenseTable[[#This Row],[Voucher Date]])</f>
        <v>2</v>
      </c>
      <c r="K135" s="68" t="s">
        <v>187</v>
      </c>
    </row>
    <row r="136" spans="1:11" x14ac:dyDescent="0.35">
      <c r="A136" s="15">
        <v>45707</v>
      </c>
      <c r="B136" s="11" t="s">
        <v>217</v>
      </c>
      <c r="C136" s="19">
        <v>45700</v>
      </c>
      <c r="D136" s="13" t="s">
        <v>204</v>
      </c>
      <c r="E136" s="12">
        <v>2400</v>
      </c>
      <c r="F136" s="21" t="s">
        <v>54</v>
      </c>
      <c r="G136" s="21" t="s">
        <v>66</v>
      </c>
      <c r="H136" s="21" t="s">
        <v>68</v>
      </c>
      <c r="I136" s="21" t="s">
        <v>90</v>
      </c>
      <c r="J136" s="68">
        <f>+MONTH(ExpenseTable[[#This Row],[Voucher Date]])</f>
        <v>2</v>
      </c>
      <c r="K136" s="68" t="s">
        <v>187</v>
      </c>
    </row>
    <row r="137" spans="1:11" x14ac:dyDescent="0.35">
      <c r="A137" s="15">
        <v>45700</v>
      </c>
      <c r="B137" s="11" t="s">
        <v>217</v>
      </c>
      <c r="C137" s="19">
        <v>45700</v>
      </c>
      <c r="D137" s="13" t="s">
        <v>223</v>
      </c>
      <c r="E137" s="12">
        <v>5400</v>
      </c>
      <c r="F137" s="21" t="s">
        <v>22</v>
      </c>
      <c r="G137" s="21" t="s">
        <v>72</v>
      </c>
      <c r="H137" s="21" t="s">
        <v>73</v>
      </c>
      <c r="I137" s="21" t="s">
        <v>90</v>
      </c>
      <c r="J137" s="68">
        <f>+MONTH(ExpenseTable[[#This Row],[Voucher Date]])</f>
        <v>2</v>
      </c>
      <c r="K137" s="68" t="s">
        <v>187</v>
      </c>
    </row>
    <row r="138" spans="1:11" x14ac:dyDescent="0.35">
      <c r="A138" s="15">
        <v>45700</v>
      </c>
      <c r="B138" s="11" t="s">
        <v>217</v>
      </c>
      <c r="C138" s="19">
        <v>45700</v>
      </c>
      <c r="D138" s="13" t="s">
        <v>224</v>
      </c>
      <c r="E138" s="12">
        <v>20000</v>
      </c>
      <c r="F138" s="21" t="s">
        <v>32</v>
      </c>
      <c r="G138" s="21" t="s">
        <v>72</v>
      </c>
      <c r="H138" s="21" t="s">
        <v>73</v>
      </c>
      <c r="I138" s="21" t="s">
        <v>90</v>
      </c>
      <c r="J138" s="68">
        <f>+MONTH(ExpenseTable[[#This Row],[Voucher Date]])</f>
        <v>2</v>
      </c>
      <c r="K138" s="68" t="s">
        <v>187</v>
      </c>
    </row>
    <row r="139" spans="1:11" x14ac:dyDescent="0.35">
      <c r="A139" s="15">
        <v>45706</v>
      </c>
      <c r="B139" s="11" t="s">
        <v>217</v>
      </c>
      <c r="C139" s="19">
        <v>45700</v>
      </c>
      <c r="D139" s="13" t="s">
        <v>133</v>
      </c>
      <c r="E139" s="12">
        <v>20000</v>
      </c>
      <c r="F139" s="21" t="s">
        <v>32</v>
      </c>
      <c r="G139" s="21" t="s">
        <v>72</v>
      </c>
      <c r="H139" s="21" t="s">
        <v>73</v>
      </c>
      <c r="I139" s="21" t="s">
        <v>90</v>
      </c>
      <c r="J139" s="68">
        <f>+MONTH(ExpenseTable[[#This Row],[Voucher Date]])</f>
        <v>2</v>
      </c>
      <c r="K139" s="68" t="s">
        <v>187</v>
      </c>
    </row>
    <row r="140" spans="1:11" x14ac:dyDescent="0.35">
      <c r="A140" s="15">
        <v>45708</v>
      </c>
      <c r="B140" s="11" t="s">
        <v>217</v>
      </c>
      <c r="C140" s="19">
        <v>45700</v>
      </c>
      <c r="D140" s="13" t="s">
        <v>133</v>
      </c>
      <c r="E140" s="12">
        <v>20000</v>
      </c>
      <c r="F140" s="21" t="s">
        <v>32</v>
      </c>
      <c r="G140" s="21" t="s">
        <v>72</v>
      </c>
      <c r="H140" s="21" t="s">
        <v>73</v>
      </c>
      <c r="I140" s="21" t="s">
        <v>90</v>
      </c>
      <c r="J140" s="68">
        <f>+MONTH(ExpenseTable[[#This Row],[Voucher Date]])</f>
        <v>2</v>
      </c>
      <c r="K140" s="68" t="s">
        <v>187</v>
      </c>
    </row>
    <row r="141" spans="1:11" x14ac:dyDescent="0.35">
      <c r="A141" s="15">
        <v>45707</v>
      </c>
      <c r="B141" s="11" t="s">
        <v>217</v>
      </c>
      <c r="C141" s="19">
        <v>45700</v>
      </c>
      <c r="D141" s="13" t="s">
        <v>219</v>
      </c>
      <c r="E141" s="12">
        <v>24700</v>
      </c>
      <c r="F141" s="21" t="s">
        <v>54</v>
      </c>
      <c r="G141" s="21" t="s">
        <v>72</v>
      </c>
      <c r="H141" s="21" t="s">
        <v>73</v>
      </c>
      <c r="I141" s="21" t="s">
        <v>90</v>
      </c>
      <c r="J141" s="68">
        <f>+MONTH(ExpenseTable[[#This Row],[Voucher Date]])</f>
        <v>2</v>
      </c>
      <c r="K141" s="68" t="s">
        <v>187</v>
      </c>
    </row>
    <row r="142" spans="1:11" x14ac:dyDescent="0.35">
      <c r="A142" s="15">
        <v>45708</v>
      </c>
      <c r="B142" s="11" t="s">
        <v>848</v>
      </c>
      <c r="C142" s="19">
        <v>45700</v>
      </c>
      <c r="D142" s="13" t="s">
        <v>220</v>
      </c>
      <c r="E142" s="12">
        <v>200</v>
      </c>
      <c r="F142" s="21" t="s">
        <v>21</v>
      </c>
      <c r="G142" s="21" t="s">
        <v>72</v>
      </c>
      <c r="H142" s="21" t="s">
        <v>73</v>
      </c>
      <c r="I142" s="21" t="s">
        <v>90</v>
      </c>
      <c r="J142" s="68">
        <f>+MONTH(ExpenseTable[[#This Row],[Voucher Date]])</f>
        <v>2</v>
      </c>
      <c r="K142" s="68" t="s">
        <v>187</v>
      </c>
    </row>
    <row r="143" spans="1:11" x14ac:dyDescent="0.35">
      <c r="A143" s="15">
        <v>45700</v>
      </c>
      <c r="B143" s="11" t="s">
        <v>849</v>
      </c>
      <c r="C143" s="19">
        <v>45700</v>
      </c>
      <c r="D143" s="13" t="s">
        <v>1184</v>
      </c>
      <c r="E143" s="12">
        <v>15000</v>
      </c>
      <c r="F143" s="21" t="s">
        <v>5</v>
      </c>
      <c r="G143" s="21" t="s">
        <v>72</v>
      </c>
      <c r="H143" s="21" t="s">
        <v>73</v>
      </c>
      <c r="I143" s="21" t="s">
        <v>1123</v>
      </c>
      <c r="J143" s="68">
        <f>+MONTH(ExpenseTable[[#This Row],[Voucher Date]])</f>
        <v>2</v>
      </c>
      <c r="K143" s="68" t="s">
        <v>187</v>
      </c>
    </row>
    <row r="144" spans="1:11" x14ac:dyDescent="0.35">
      <c r="A144" s="15">
        <v>45701</v>
      </c>
      <c r="B144" s="11" t="s">
        <v>849</v>
      </c>
      <c r="C144" s="19">
        <v>45700</v>
      </c>
      <c r="D144" s="13" t="s">
        <v>218</v>
      </c>
      <c r="E144" s="12">
        <v>25500</v>
      </c>
      <c r="F144" s="21" t="s">
        <v>54</v>
      </c>
      <c r="G144" s="21" t="s">
        <v>72</v>
      </c>
      <c r="H144" s="21" t="s">
        <v>73</v>
      </c>
      <c r="I144" s="21" t="s">
        <v>1123</v>
      </c>
      <c r="J144" s="68">
        <f>+MONTH(ExpenseTable[[#This Row],[Voucher Date]])</f>
        <v>2</v>
      </c>
      <c r="K144" s="68" t="s">
        <v>187</v>
      </c>
    </row>
    <row r="145" spans="1:11" x14ac:dyDescent="0.35">
      <c r="A145" s="15">
        <v>45701</v>
      </c>
      <c r="B145" s="11" t="s">
        <v>849</v>
      </c>
      <c r="C145" s="19">
        <v>45700</v>
      </c>
      <c r="D145" s="13" t="s">
        <v>124</v>
      </c>
      <c r="E145" s="12">
        <v>35921</v>
      </c>
      <c r="F145" s="21" t="s">
        <v>33</v>
      </c>
      <c r="G145" s="21" t="s">
        <v>72</v>
      </c>
      <c r="H145" s="21" t="s">
        <v>73</v>
      </c>
      <c r="I145" s="21" t="s">
        <v>1123</v>
      </c>
      <c r="J145" s="68">
        <f>+MONTH(ExpenseTable[[#This Row],[Voucher Date]])</f>
        <v>2</v>
      </c>
      <c r="K145" s="68" t="s">
        <v>187</v>
      </c>
    </row>
    <row r="146" spans="1:11" x14ac:dyDescent="0.35">
      <c r="A146" s="15">
        <v>45701</v>
      </c>
      <c r="B146" s="11" t="s">
        <v>849</v>
      </c>
      <c r="C146" s="19">
        <v>45700</v>
      </c>
      <c r="D146" s="13" t="s">
        <v>222</v>
      </c>
      <c r="E146" s="12">
        <v>50000</v>
      </c>
      <c r="F146" s="21" t="s">
        <v>5</v>
      </c>
      <c r="G146" s="21" t="s">
        <v>72</v>
      </c>
      <c r="H146" s="21" t="s">
        <v>73</v>
      </c>
      <c r="I146" s="21" t="s">
        <v>1123</v>
      </c>
      <c r="J146" s="68">
        <f>+MONTH(ExpenseTable[[#This Row],[Voucher Date]])</f>
        <v>2</v>
      </c>
      <c r="K146" s="68" t="s">
        <v>187</v>
      </c>
    </row>
    <row r="147" spans="1:11" x14ac:dyDescent="0.35">
      <c r="A147" s="15">
        <v>45700</v>
      </c>
      <c r="B147" s="11" t="s">
        <v>849</v>
      </c>
      <c r="C147" s="19">
        <v>45700</v>
      </c>
      <c r="D147" s="13" t="s">
        <v>221</v>
      </c>
      <c r="E147" s="12">
        <v>50000</v>
      </c>
      <c r="F147" s="21" t="s">
        <v>54</v>
      </c>
      <c r="G147" s="21" t="s">
        <v>80</v>
      </c>
      <c r="H147" s="21" t="s">
        <v>81</v>
      </c>
      <c r="I147" s="21" t="s">
        <v>1123</v>
      </c>
      <c r="J147" s="68">
        <f>+MONTH(ExpenseTable[[#This Row],[Voucher Date]])</f>
        <v>2</v>
      </c>
      <c r="K147" s="68" t="s">
        <v>187</v>
      </c>
    </row>
    <row r="148" spans="1:11" x14ac:dyDescent="0.35">
      <c r="A148" s="15">
        <v>45701</v>
      </c>
      <c r="B148" s="11" t="s">
        <v>225</v>
      </c>
      <c r="C148" s="19">
        <v>45702</v>
      </c>
      <c r="D148" s="13" t="s">
        <v>219</v>
      </c>
      <c r="E148" s="12">
        <v>2400</v>
      </c>
      <c r="F148" s="21" t="s">
        <v>54</v>
      </c>
      <c r="G148" s="21" t="s">
        <v>67</v>
      </c>
      <c r="H148" s="21" t="s">
        <v>79</v>
      </c>
      <c r="I148" s="21" t="s">
        <v>90</v>
      </c>
      <c r="J148" s="68">
        <f>+MONTH(ExpenseTable[[#This Row],[Voucher Date]])</f>
        <v>2</v>
      </c>
      <c r="K148" s="68" t="s">
        <v>187</v>
      </c>
    </row>
    <row r="149" spans="1:11" x14ac:dyDescent="0.35">
      <c r="A149" s="15">
        <v>45701</v>
      </c>
      <c r="B149" s="11" t="s">
        <v>225</v>
      </c>
      <c r="C149" s="19">
        <v>45702</v>
      </c>
      <c r="D149" s="13" t="s">
        <v>134</v>
      </c>
      <c r="E149" s="12">
        <v>5000</v>
      </c>
      <c r="F149" s="21" t="s">
        <v>57</v>
      </c>
      <c r="G149" s="21" t="s">
        <v>72</v>
      </c>
      <c r="H149" s="21" t="s">
        <v>73</v>
      </c>
      <c r="I149" s="21" t="s">
        <v>90</v>
      </c>
      <c r="J149" s="68">
        <f>+MONTH(ExpenseTable[[#This Row],[Voucher Date]])</f>
        <v>2</v>
      </c>
      <c r="K149" s="68" t="s">
        <v>187</v>
      </c>
    </row>
    <row r="150" spans="1:11" x14ac:dyDescent="0.35">
      <c r="A150" s="15">
        <v>45702</v>
      </c>
      <c r="B150" s="11" t="s">
        <v>225</v>
      </c>
      <c r="C150" s="19">
        <v>45702</v>
      </c>
      <c r="D150" s="13" t="s">
        <v>229</v>
      </c>
      <c r="E150" s="12">
        <v>5000</v>
      </c>
      <c r="F150" s="21" t="s">
        <v>54</v>
      </c>
      <c r="G150" s="21" t="s">
        <v>65</v>
      </c>
      <c r="H150" s="21" t="s">
        <v>78</v>
      </c>
      <c r="I150" s="21" t="s">
        <v>90</v>
      </c>
      <c r="J150" s="68">
        <f>+MONTH(ExpenseTable[[#This Row],[Voucher Date]])</f>
        <v>2</v>
      </c>
      <c r="K150" s="68" t="s">
        <v>187</v>
      </c>
    </row>
    <row r="151" spans="1:11" x14ac:dyDescent="0.35">
      <c r="A151" s="15">
        <v>45702</v>
      </c>
      <c r="B151" s="11" t="s">
        <v>225</v>
      </c>
      <c r="C151" s="19">
        <v>45702</v>
      </c>
      <c r="D151" s="13" t="s">
        <v>230</v>
      </c>
      <c r="E151" s="12">
        <v>5000</v>
      </c>
      <c r="F151" s="21" t="s">
        <v>54</v>
      </c>
      <c r="G151" s="21" t="s">
        <v>65</v>
      </c>
      <c r="H151" s="21" t="s">
        <v>78</v>
      </c>
      <c r="I151" s="21" t="s">
        <v>90</v>
      </c>
      <c r="J151" s="68">
        <f>+MONTH(ExpenseTable[[#This Row],[Voucher Date]])</f>
        <v>2</v>
      </c>
      <c r="K151" s="68" t="s">
        <v>187</v>
      </c>
    </row>
    <row r="152" spans="1:11" x14ac:dyDescent="0.35">
      <c r="A152" s="15">
        <v>45702</v>
      </c>
      <c r="B152" s="11" t="s">
        <v>225</v>
      </c>
      <c r="C152" s="19">
        <v>45702</v>
      </c>
      <c r="D152" s="13" t="s">
        <v>234</v>
      </c>
      <c r="E152" s="12">
        <v>15000</v>
      </c>
      <c r="F152" s="21" t="s">
        <v>57</v>
      </c>
      <c r="G152" s="21" t="s">
        <v>72</v>
      </c>
      <c r="H152" s="21" t="s">
        <v>73</v>
      </c>
      <c r="I152" s="21" t="s">
        <v>90</v>
      </c>
      <c r="J152" s="68">
        <f>+MONTH(ExpenseTable[[#This Row],[Voucher Date]])</f>
        <v>2</v>
      </c>
      <c r="K152" s="68" t="s">
        <v>187</v>
      </c>
    </row>
    <row r="153" spans="1:11" x14ac:dyDescent="0.35">
      <c r="A153" s="15">
        <v>45702</v>
      </c>
      <c r="B153" s="11" t="s">
        <v>225</v>
      </c>
      <c r="C153" s="19">
        <v>45702</v>
      </c>
      <c r="D153" s="13" t="s">
        <v>219</v>
      </c>
      <c r="E153" s="12">
        <v>15000</v>
      </c>
      <c r="F153" s="21" t="s">
        <v>54</v>
      </c>
      <c r="G153" s="21" t="s">
        <v>67</v>
      </c>
      <c r="H153" s="21" t="s">
        <v>228</v>
      </c>
      <c r="I153" s="21" t="s">
        <v>90</v>
      </c>
      <c r="J153" s="68">
        <f>+MONTH(ExpenseTable[[#This Row],[Voucher Date]])</f>
        <v>2</v>
      </c>
      <c r="K153" s="68" t="s">
        <v>187</v>
      </c>
    </row>
    <row r="154" spans="1:11" x14ac:dyDescent="0.35">
      <c r="A154" s="15">
        <v>45701</v>
      </c>
      <c r="B154" s="11" t="s">
        <v>225</v>
      </c>
      <c r="C154" s="19">
        <v>45702</v>
      </c>
      <c r="D154" s="13" t="s">
        <v>233</v>
      </c>
      <c r="E154" s="12">
        <v>20000</v>
      </c>
      <c r="F154" s="21" t="s">
        <v>40</v>
      </c>
      <c r="G154" s="21" t="s">
        <v>72</v>
      </c>
      <c r="H154" s="21" t="s">
        <v>73</v>
      </c>
      <c r="I154" s="21" t="s">
        <v>90</v>
      </c>
      <c r="J154" s="68">
        <f>+MONTH(ExpenseTable[[#This Row],[Voucher Date]])</f>
        <v>2</v>
      </c>
      <c r="K154" s="68" t="s">
        <v>187</v>
      </c>
    </row>
    <row r="155" spans="1:11" x14ac:dyDescent="0.35">
      <c r="A155" s="15">
        <v>45702</v>
      </c>
      <c r="B155" s="11" t="s">
        <v>225</v>
      </c>
      <c r="C155" s="19">
        <v>45702</v>
      </c>
      <c r="D155" s="13" t="s">
        <v>235</v>
      </c>
      <c r="E155" s="12">
        <v>30000</v>
      </c>
      <c r="F155" s="21" t="s">
        <v>57</v>
      </c>
      <c r="G155" s="21" t="s">
        <v>72</v>
      </c>
      <c r="H155" s="21" t="s">
        <v>73</v>
      </c>
      <c r="I155" s="21" t="s">
        <v>90</v>
      </c>
      <c r="J155" s="68">
        <f>+MONTH(ExpenseTable[[#This Row],[Voucher Date]])</f>
        <v>2</v>
      </c>
      <c r="K155" s="68" t="s">
        <v>187</v>
      </c>
    </row>
    <row r="156" spans="1:11" x14ac:dyDescent="0.35">
      <c r="A156" s="15">
        <v>45703</v>
      </c>
      <c r="B156" s="11" t="s">
        <v>232</v>
      </c>
      <c r="C156" s="19">
        <v>45702</v>
      </c>
      <c r="D156" s="13" t="s">
        <v>219</v>
      </c>
      <c r="E156" s="12">
        <v>10000</v>
      </c>
      <c r="F156" s="21" t="s">
        <v>54</v>
      </c>
      <c r="G156" s="21" t="s">
        <v>67</v>
      </c>
      <c r="H156" s="21" t="s">
        <v>228</v>
      </c>
      <c r="I156" s="21" t="s">
        <v>1123</v>
      </c>
      <c r="J156" s="68">
        <f>+MONTH(ExpenseTable[[#This Row],[Voucher Date]])</f>
        <v>2</v>
      </c>
      <c r="K156" s="68" t="s">
        <v>187</v>
      </c>
    </row>
    <row r="157" spans="1:11" x14ac:dyDescent="0.35">
      <c r="A157" s="15">
        <v>45702</v>
      </c>
      <c r="B157" s="11" t="s">
        <v>232</v>
      </c>
      <c r="C157" s="19">
        <v>45702</v>
      </c>
      <c r="D157" s="13" t="s">
        <v>227</v>
      </c>
      <c r="E157" s="12">
        <v>40000</v>
      </c>
      <c r="F157" s="21" t="s">
        <v>54</v>
      </c>
      <c r="G157" s="21" t="s">
        <v>65</v>
      </c>
      <c r="H157" s="21" t="s">
        <v>78</v>
      </c>
      <c r="I157" s="21" t="s">
        <v>1123</v>
      </c>
      <c r="J157" s="68">
        <f>+MONTH(ExpenseTable[[#This Row],[Voucher Date]])</f>
        <v>2</v>
      </c>
      <c r="K157" s="68" t="s">
        <v>187</v>
      </c>
    </row>
    <row r="158" spans="1:11" x14ac:dyDescent="0.35">
      <c r="A158" s="15">
        <v>45708</v>
      </c>
      <c r="B158" s="11" t="s">
        <v>232</v>
      </c>
      <c r="C158" s="19">
        <v>45702</v>
      </c>
      <c r="D158" s="13" t="s">
        <v>178</v>
      </c>
      <c r="E158" s="12">
        <v>50000</v>
      </c>
      <c r="F158" s="21" t="s">
        <v>40</v>
      </c>
      <c r="G158" s="21" t="s">
        <v>72</v>
      </c>
      <c r="H158" s="21" t="s">
        <v>73</v>
      </c>
      <c r="I158" s="21" t="s">
        <v>1123</v>
      </c>
      <c r="J158" s="68">
        <f>+MONTH(ExpenseTable[[#This Row],[Voucher Date]])</f>
        <v>2</v>
      </c>
      <c r="K158" s="68" t="s">
        <v>187</v>
      </c>
    </row>
    <row r="159" spans="1:11" x14ac:dyDescent="0.35">
      <c r="A159" s="15">
        <v>45702</v>
      </c>
      <c r="B159" s="11" t="s">
        <v>232</v>
      </c>
      <c r="C159" s="19">
        <v>45702</v>
      </c>
      <c r="D159" s="13" t="s">
        <v>231</v>
      </c>
      <c r="E159" s="12">
        <v>70000</v>
      </c>
      <c r="F159" s="21" t="s">
        <v>22</v>
      </c>
      <c r="G159" s="21" t="s">
        <v>72</v>
      </c>
      <c r="H159" s="21" t="s">
        <v>73</v>
      </c>
      <c r="I159" s="21" t="s">
        <v>1123</v>
      </c>
      <c r="J159" s="68">
        <f>+MONTH(ExpenseTable[[#This Row],[Voucher Date]])</f>
        <v>2</v>
      </c>
      <c r="K159" s="68" t="s">
        <v>187</v>
      </c>
    </row>
    <row r="160" spans="1:11" x14ac:dyDescent="0.35">
      <c r="A160" s="15">
        <v>45702</v>
      </c>
      <c r="B160" s="11" t="s">
        <v>232</v>
      </c>
      <c r="C160" s="19">
        <v>45702</v>
      </c>
      <c r="D160" s="13" t="s">
        <v>226</v>
      </c>
      <c r="E160" s="12">
        <v>200000</v>
      </c>
      <c r="F160" s="21" t="s">
        <v>54</v>
      </c>
      <c r="G160" s="21" t="s">
        <v>72</v>
      </c>
      <c r="H160" s="21" t="s">
        <v>73</v>
      </c>
      <c r="I160" s="21" t="s">
        <v>1123</v>
      </c>
      <c r="J160" s="68">
        <f>+MONTH(ExpenseTable[[#This Row],[Voucher Date]])</f>
        <v>2</v>
      </c>
      <c r="K160" s="68" t="s">
        <v>187</v>
      </c>
    </row>
    <row r="161" spans="1:11" x14ac:dyDescent="0.35">
      <c r="A161" s="15">
        <v>45712</v>
      </c>
      <c r="B161" s="11" t="s">
        <v>236</v>
      </c>
      <c r="C161" s="19">
        <v>45705</v>
      </c>
      <c r="D161" s="13" t="s">
        <v>241</v>
      </c>
      <c r="E161" s="12">
        <v>5000</v>
      </c>
      <c r="F161" s="21" t="s">
        <v>54</v>
      </c>
      <c r="G161" s="21" t="s">
        <v>67</v>
      </c>
      <c r="H161" s="21" t="s">
        <v>79</v>
      </c>
      <c r="I161" s="21" t="s">
        <v>1123</v>
      </c>
      <c r="J161" s="68">
        <f>+MONTH(ExpenseTable[[#This Row],[Voucher Date]])</f>
        <v>2</v>
      </c>
      <c r="K161" s="68" t="s">
        <v>238</v>
      </c>
    </row>
    <row r="162" spans="1:11" x14ac:dyDescent="0.35">
      <c r="A162" s="15">
        <v>45709</v>
      </c>
      <c r="B162" s="11" t="s">
        <v>236</v>
      </c>
      <c r="C162" s="19">
        <v>45705</v>
      </c>
      <c r="D162" s="13" t="s">
        <v>246</v>
      </c>
      <c r="E162" s="12">
        <v>15000</v>
      </c>
      <c r="F162" s="21" t="s">
        <v>22</v>
      </c>
      <c r="G162" s="21" t="s">
        <v>72</v>
      </c>
      <c r="H162" s="21" t="s">
        <v>73</v>
      </c>
      <c r="I162" s="21" t="s">
        <v>1123</v>
      </c>
      <c r="J162" s="68">
        <f>+MONTH(ExpenseTable[[#This Row],[Voucher Date]])</f>
        <v>2</v>
      </c>
      <c r="K162" s="68" t="s">
        <v>238</v>
      </c>
    </row>
    <row r="163" spans="1:11" x14ac:dyDescent="0.35">
      <c r="A163" s="15">
        <v>45706</v>
      </c>
      <c r="B163" s="11" t="s">
        <v>236</v>
      </c>
      <c r="C163" s="19">
        <v>45705</v>
      </c>
      <c r="D163" s="13" t="s">
        <v>239</v>
      </c>
      <c r="E163" s="12">
        <v>20000</v>
      </c>
      <c r="F163" s="21" t="s">
        <v>54</v>
      </c>
      <c r="G163" s="21" t="s">
        <v>67</v>
      </c>
      <c r="H163" s="21" t="s">
        <v>79</v>
      </c>
      <c r="I163" s="21" t="s">
        <v>1123</v>
      </c>
      <c r="J163" s="68">
        <f>+MONTH(ExpenseTable[[#This Row],[Voucher Date]])</f>
        <v>2</v>
      </c>
      <c r="K163" s="68" t="s">
        <v>238</v>
      </c>
    </row>
    <row r="164" spans="1:11" x14ac:dyDescent="0.35">
      <c r="A164" s="15">
        <v>45705</v>
      </c>
      <c r="B164" s="11" t="s">
        <v>236</v>
      </c>
      <c r="C164" s="19">
        <v>45705</v>
      </c>
      <c r="D164" s="13" t="s">
        <v>248</v>
      </c>
      <c r="E164" s="12">
        <v>55000</v>
      </c>
      <c r="F164" s="21" t="s">
        <v>35</v>
      </c>
      <c r="G164" s="21" t="s">
        <v>72</v>
      </c>
      <c r="H164" s="21" t="s">
        <v>73</v>
      </c>
      <c r="I164" s="21" t="s">
        <v>1123</v>
      </c>
      <c r="J164" s="68">
        <f>+MONTH(ExpenseTable[[#This Row],[Voucher Date]])</f>
        <v>2</v>
      </c>
      <c r="K164" s="68" t="s">
        <v>238</v>
      </c>
    </row>
    <row r="165" spans="1:11" x14ac:dyDescent="0.35">
      <c r="A165" s="15">
        <v>45707</v>
      </c>
      <c r="B165" s="11" t="s">
        <v>236</v>
      </c>
      <c r="C165" s="19">
        <v>45705</v>
      </c>
      <c r="D165" s="13" t="s">
        <v>240</v>
      </c>
      <c r="E165" s="12">
        <v>76000</v>
      </c>
      <c r="F165" s="21" t="s">
        <v>54</v>
      </c>
      <c r="G165" s="21" t="s">
        <v>67</v>
      </c>
      <c r="H165" s="21" t="s">
        <v>79</v>
      </c>
      <c r="I165" s="21" t="s">
        <v>1123</v>
      </c>
      <c r="J165" s="68">
        <f>+MONTH(ExpenseTable[[#This Row],[Voucher Date]])</f>
        <v>2</v>
      </c>
      <c r="K165" s="68" t="s">
        <v>238</v>
      </c>
    </row>
    <row r="166" spans="1:11" x14ac:dyDescent="0.35">
      <c r="A166" s="15">
        <v>45705</v>
      </c>
      <c r="B166" s="11" t="s">
        <v>236</v>
      </c>
      <c r="C166" s="19">
        <v>45705</v>
      </c>
      <c r="D166" s="13" t="s">
        <v>243</v>
      </c>
      <c r="E166" s="12">
        <v>200000</v>
      </c>
      <c r="F166" s="21" t="s">
        <v>50</v>
      </c>
      <c r="G166" s="21" t="s">
        <v>72</v>
      </c>
      <c r="H166" s="21" t="s">
        <v>73</v>
      </c>
      <c r="I166" s="21" t="s">
        <v>1123</v>
      </c>
      <c r="J166" s="68">
        <f>+MONTH(ExpenseTable[[#This Row],[Voucher Date]])</f>
        <v>2</v>
      </c>
      <c r="K166" s="68" t="s">
        <v>238</v>
      </c>
    </row>
    <row r="167" spans="1:11" x14ac:dyDescent="0.35">
      <c r="A167" s="15">
        <v>45701</v>
      </c>
      <c r="B167" s="11" t="s">
        <v>850</v>
      </c>
      <c r="C167" s="19">
        <v>45705</v>
      </c>
      <c r="D167" s="13" t="s">
        <v>245</v>
      </c>
      <c r="E167" s="12">
        <v>45000</v>
      </c>
      <c r="F167" s="21" t="s">
        <v>5</v>
      </c>
      <c r="G167" s="21" t="s">
        <v>72</v>
      </c>
      <c r="H167" s="21" t="s">
        <v>73</v>
      </c>
      <c r="I167" s="21" t="s">
        <v>91</v>
      </c>
      <c r="J167" s="68">
        <f>+MONTH(ExpenseTable[[#This Row],[Voucher Date]])</f>
        <v>2</v>
      </c>
      <c r="K167" s="68" t="s">
        <v>187</v>
      </c>
    </row>
    <row r="168" spans="1:11" x14ac:dyDescent="0.35">
      <c r="A168" s="15">
        <v>45701</v>
      </c>
      <c r="B168" s="11" t="s">
        <v>850</v>
      </c>
      <c r="C168" s="19">
        <v>45705</v>
      </c>
      <c r="D168" s="13" t="s">
        <v>247</v>
      </c>
      <c r="E168" s="12">
        <v>50000</v>
      </c>
      <c r="F168" s="21" t="s">
        <v>19</v>
      </c>
      <c r="G168" s="21" t="s">
        <v>72</v>
      </c>
      <c r="H168" s="21" t="s">
        <v>73</v>
      </c>
      <c r="I168" s="21" t="s">
        <v>91</v>
      </c>
      <c r="J168" s="68">
        <f>+MONTH(ExpenseTable[[#This Row],[Voucher Date]])</f>
        <v>2</v>
      </c>
      <c r="K168" s="68" t="s">
        <v>187</v>
      </c>
    </row>
    <row r="169" spans="1:11" x14ac:dyDescent="0.35">
      <c r="A169" s="15">
        <v>45693</v>
      </c>
      <c r="B169" s="11" t="s">
        <v>850</v>
      </c>
      <c r="C169" s="19">
        <v>45705</v>
      </c>
      <c r="D169" s="13" t="s">
        <v>244</v>
      </c>
      <c r="E169" s="12">
        <v>75000</v>
      </c>
      <c r="F169" s="21" t="s">
        <v>5</v>
      </c>
      <c r="G169" s="21" t="s">
        <v>72</v>
      </c>
      <c r="H169" s="21" t="s">
        <v>73</v>
      </c>
      <c r="I169" s="21" t="s">
        <v>91</v>
      </c>
      <c r="J169" s="68">
        <f>+MONTH(ExpenseTable[[#This Row],[Voucher Date]])</f>
        <v>2</v>
      </c>
      <c r="K169" s="68" t="s">
        <v>187</v>
      </c>
    </row>
    <row r="170" spans="1:11" x14ac:dyDescent="0.35">
      <c r="A170" s="15">
        <v>45705</v>
      </c>
      <c r="B170" s="11" t="s">
        <v>850</v>
      </c>
      <c r="C170" s="19">
        <v>45705</v>
      </c>
      <c r="D170" s="13" t="s">
        <v>242</v>
      </c>
      <c r="E170" s="12">
        <v>300000</v>
      </c>
      <c r="F170" s="21" t="s">
        <v>50</v>
      </c>
      <c r="G170" s="21" t="s">
        <v>72</v>
      </c>
      <c r="H170" s="21" t="s">
        <v>73</v>
      </c>
      <c r="I170" s="21" t="s">
        <v>91</v>
      </c>
      <c r="J170" s="68">
        <f>+MONTH(ExpenseTable[[#This Row],[Voucher Date]])</f>
        <v>2</v>
      </c>
      <c r="K170" s="68" t="s">
        <v>187</v>
      </c>
    </row>
    <row r="171" spans="1:11" x14ac:dyDescent="0.35">
      <c r="A171" s="15">
        <v>45712</v>
      </c>
      <c r="B171" s="11" t="s">
        <v>850</v>
      </c>
      <c r="C171" s="19">
        <v>45705</v>
      </c>
      <c r="D171" s="13" t="s">
        <v>237</v>
      </c>
      <c r="E171" s="12">
        <v>684000</v>
      </c>
      <c r="F171" s="21" t="s">
        <v>54</v>
      </c>
      <c r="G171" s="21" t="s">
        <v>72</v>
      </c>
      <c r="H171" s="21" t="s">
        <v>73</v>
      </c>
      <c r="I171" s="21" t="s">
        <v>91</v>
      </c>
      <c r="J171" s="68">
        <f>+MONTH(ExpenseTable[[#This Row],[Voucher Date]])</f>
        <v>2</v>
      </c>
      <c r="K171" s="68" t="s">
        <v>187</v>
      </c>
    </row>
    <row r="172" spans="1:11" x14ac:dyDescent="0.35">
      <c r="A172" s="15">
        <v>45709</v>
      </c>
      <c r="B172" s="11" t="s">
        <v>249</v>
      </c>
      <c r="C172" s="19">
        <v>45706</v>
      </c>
      <c r="D172" s="13" t="s">
        <v>251</v>
      </c>
      <c r="E172" s="12">
        <v>800</v>
      </c>
      <c r="F172" s="21" t="s">
        <v>54</v>
      </c>
      <c r="G172" s="21" t="s">
        <v>72</v>
      </c>
      <c r="H172" s="21" t="s">
        <v>73</v>
      </c>
      <c r="I172" s="21" t="s">
        <v>90</v>
      </c>
      <c r="J172" s="68">
        <f>+MONTH(ExpenseTable[[#This Row],[Voucher Date]])</f>
        <v>2</v>
      </c>
      <c r="K172" s="68" t="s">
        <v>187</v>
      </c>
    </row>
    <row r="173" spans="1:11" x14ac:dyDescent="0.35">
      <c r="A173" s="15">
        <v>45712</v>
      </c>
      <c r="B173" s="11" t="s">
        <v>249</v>
      </c>
      <c r="C173" s="19">
        <v>45706</v>
      </c>
      <c r="D173" s="13" t="s">
        <v>133</v>
      </c>
      <c r="E173" s="12">
        <v>20000</v>
      </c>
      <c r="F173" s="21" t="s">
        <v>32</v>
      </c>
      <c r="G173" s="21" t="s">
        <v>72</v>
      </c>
      <c r="H173" s="21" t="s">
        <v>73</v>
      </c>
      <c r="I173" s="21" t="s">
        <v>90</v>
      </c>
      <c r="J173" s="68">
        <f>+MONTH(ExpenseTable[[#This Row],[Voucher Date]])</f>
        <v>2</v>
      </c>
      <c r="K173" s="68" t="s">
        <v>187</v>
      </c>
    </row>
    <row r="174" spans="1:11" x14ac:dyDescent="0.35">
      <c r="A174" s="15">
        <v>45709</v>
      </c>
      <c r="B174" s="11" t="s">
        <v>249</v>
      </c>
      <c r="C174" s="19">
        <v>45706</v>
      </c>
      <c r="D174" s="13" t="s">
        <v>250</v>
      </c>
      <c r="E174" s="12">
        <v>25000</v>
      </c>
      <c r="F174" s="21" t="s">
        <v>54</v>
      </c>
      <c r="G174" s="21" t="s">
        <v>66</v>
      </c>
      <c r="H174" s="21" t="s">
        <v>68</v>
      </c>
      <c r="I174" s="21" t="s">
        <v>90</v>
      </c>
      <c r="J174" s="68">
        <f>+MONTH(ExpenseTable[[#This Row],[Voucher Date]])</f>
        <v>2</v>
      </c>
      <c r="K174" s="68" t="s">
        <v>187</v>
      </c>
    </row>
    <row r="175" spans="1:11" x14ac:dyDescent="0.35">
      <c r="A175" s="15">
        <v>45709</v>
      </c>
      <c r="B175" s="11" t="s">
        <v>249</v>
      </c>
      <c r="C175" s="19">
        <v>45706</v>
      </c>
      <c r="D175" s="13" t="s">
        <v>252</v>
      </c>
      <c r="E175" s="12">
        <v>30000</v>
      </c>
      <c r="F175" s="21" t="s">
        <v>5</v>
      </c>
      <c r="G175" s="21" t="s">
        <v>72</v>
      </c>
      <c r="H175" s="21" t="s">
        <v>73</v>
      </c>
      <c r="I175" s="21" t="s">
        <v>90</v>
      </c>
      <c r="J175" s="68">
        <f>+MONTH(ExpenseTable[[#This Row],[Voucher Date]])</f>
        <v>2</v>
      </c>
      <c r="K175" s="68" t="s">
        <v>187</v>
      </c>
    </row>
    <row r="176" spans="1:11" x14ac:dyDescent="0.35">
      <c r="A176" s="15">
        <v>45706</v>
      </c>
      <c r="B176" s="11" t="s">
        <v>249</v>
      </c>
      <c r="C176" s="19">
        <v>45706</v>
      </c>
      <c r="D176" s="13" t="s">
        <v>254</v>
      </c>
      <c r="E176" s="12">
        <v>32000</v>
      </c>
      <c r="F176" s="21" t="s">
        <v>39</v>
      </c>
      <c r="G176" s="21" t="s">
        <v>72</v>
      </c>
      <c r="H176" s="21" t="s">
        <v>73</v>
      </c>
      <c r="I176" s="21" t="s">
        <v>90</v>
      </c>
      <c r="J176" s="68">
        <f>+MONTH(ExpenseTable[[#This Row],[Voucher Date]])</f>
        <v>2</v>
      </c>
      <c r="K176" s="68" t="s">
        <v>187</v>
      </c>
    </row>
    <row r="177" spans="1:11" x14ac:dyDescent="0.35">
      <c r="A177" s="15">
        <v>45709</v>
      </c>
      <c r="B177" s="11" t="s">
        <v>249</v>
      </c>
      <c r="C177" s="19">
        <v>45706</v>
      </c>
      <c r="D177" s="13" t="s">
        <v>253</v>
      </c>
      <c r="E177" s="12">
        <v>34200</v>
      </c>
      <c r="F177" s="21" t="s">
        <v>57</v>
      </c>
      <c r="G177" s="21" t="s">
        <v>72</v>
      </c>
      <c r="H177" s="21" t="s">
        <v>73</v>
      </c>
      <c r="I177" s="21" t="s">
        <v>90</v>
      </c>
      <c r="J177" s="68">
        <f>+MONTH(ExpenseTable[[#This Row],[Voucher Date]])</f>
        <v>2</v>
      </c>
      <c r="K177" s="68" t="s">
        <v>187</v>
      </c>
    </row>
    <row r="178" spans="1:11" x14ac:dyDescent="0.35">
      <c r="A178" s="15">
        <v>45712</v>
      </c>
      <c r="B178" s="11" t="s">
        <v>249</v>
      </c>
      <c r="C178" s="19">
        <v>45706</v>
      </c>
      <c r="D178" s="13" t="s">
        <v>250</v>
      </c>
      <c r="E178" s="12">
        <v>40000</v>
      </c>
      <c r="F178" s="21" t="s">
        <v>40</v>
      </c>
      <c r="G178" s="21" t="s">
        <v>72</v>
      </c>
      <c r="H178" s="21" t="s">
        <v>73</v>
      </c>
      <c r="I178" s="21" t="s">
        <v>90</v>
      </c>
      <c r="J178" s="68">
        <f>+MONTH(ExpenseTable[[#This Row],[Voucher Date]])</f>
        <v>2</v>
      </c>
      <c r="K178" s="68" t="s">
        <v>187</v>
      </c>
    </row>
    <row r="179" spans="1:11" x14ac:dyDescent="0.35">
      <c r="A179" s="15">
        <v>45707</v>
      </c>
      <c r="B179" s="11" t="s">
        <v>255</v>
      </c>
      <c r="C179" s="19">
        <v>45707</v>
      </c>
      <c r="D179" s="13" t="s">
        <v>257</v>
      </c>
      <c r="E179" s="12">
        <v>114520.03</v>
      </c>
      <c r="F179" s="21" t="s">
        <v>56</v>
      </c>
      <c r="G179" s="21" t="s">
        <v>72</v>
      </c>
      <c r="H179" s="21" t="s">
        <v>73</v>
      </c>
      <c r="I179" s="21" t="s">
        <v>91</v>
      </c>
      <c r="J179" s="68">
        <f>+MONTH(ExpenseTable[[#This Row],[Voucher Date]])</f>
        <v>2</v>
      </c>
      <c r="K179" s="68" t="s">
        <v>187</v>
      </c>
    </row>
    <row r="180" spans="1:11" x14ac:dyDescent="0.35">
      <c r="A180" s="15">
        <v>45707</v>
      </c>
      <c r="B180" s="11" t="s">
        <v>255</v>
      </c>
      <c r="C180" s="19">
        <v>45707</v>
      </c>
      <c r="D180" s="13" t="s">
        <v>256</v>
      </c>
      <c r="E180" s="12">
        <v>132261.25</v>
      </c>
      <c r="F180" s="21" t="s">
        <v>84</v>
      </c>
      <c r="G180" s="21" t="s">
        <v>72</v>
      </c>
      <c r="H180" s="21" t="s">
        <v>73</v>
      </c>
      <c r="I180" s="21" t="s">
        <v>91</v>
      </c>
      <c r="J180" s="68">
        <f>+MONTH(ExpenseTable[[#This Row],[Voucher Date]])</f>
        <v>2</v>
      </c>
      <c r="K180" s="68" t="s">
        <v>187</v>
      </c>
    </row>
    <row r="181" spans="1:11" x14ac:dyDescent="0.35">
      <c r="A181" s="15">
        <v>45707</v>
      </c>
      <c r="B181" s="11" t="s">
        <v>255</v>
      </c>
      <c r="C181" s="19">
        <v>45707</v>
      </c>
      <c r="D181" s="13" t="s">
        <v>259</v>
      </c>
      <c r="E181" s="12">
        <v>697674.42</v>
      </c>
      <c r="F181" s="21" t="s">
        <v>83</v>
      </c>
      <c r="G181" s="21" t="s">
        <v>72</v>
      </c>
      <c r="H181" s="21" t="s">
        <v>73</v>
      </c>
      <c r="I181" s="21" t="s">
        <v>91</v>
      </c>
      <c r="J181" s="68">
        <f>+MONTH(ExpenseTable[[#This Row],[Voucher Date]])</f>
        <v>2</v>
      </c>
      <c r="K181" s="68" t="s">
        <v>187</v>
      </c>
    </row>
    <row r="182" spans="1:11" x14ac:dyDescent="0.35">
      <c r="A182" s="15">
        <v>45707</v>
      </c>
      <c r="B182" s="11" t="s">
        <v>255</v>
      </c>
      <c r="C182" s="19">
        <v>45707</v>
      </c>
      <c r="D182" s="13" t="s">
        <v>258</v>
      </c>
      <c r="E182" s="12">
        <v>943964.97</v>
      </c>
      <c r="F182" s="21" t="s">
        <v>29</v>
      </c>
      <c r="G182" s="21" t="s">
        <v>72</v>
      </c>
      <c r="H182" s="21" t="s">
        <v>73</v>
      </c>
      <c r="I182" s="21" t="s">
        <v>91</v>
      </c>
      <c r="J182" s="68">
        <f>+MONTH(ExpenseTable[[#This Row],[Voucher Date]])</f>
        <v>2</v>
      </c>
      <c r="K182" s="68" t="s">
        <v>187</v>
      </c>
    </row>
    <row r="183" spans="1:11" x14ac:dyDescent="0.35">
      <c r="A183" s="15">
        <v>45705</v>
      </c>
      <c r="B183" s="11" t="s">
        <v>260</v>
      </c>
      <c r="C183" s="19">
        <v>45709</v>
      </c>
      <c r="D183" s="13" t="s">
        <v>204</v>
      </c>
      <c r="E183" s="12">
        <v>2400</v>
      </c>
      <c r="F183" s="21" t="s">
        <v>54</v>
      </c>
      <c r="G183" s="21" t="s">
        <v>66</v>
      </c>
      <c r="H183" s="21" t="s">
        <v>68</v>
      </c>
      <c r="I183" s="21" t="s">
        <v>90</v>
      </c>
      <c r="J183" s="68">
        <f>+MONTH(ExpenseTable[[#This Row],[Voucher Date]])</f>
        <v>2</v>
      </c>
      <c r="K183" s="68" t="s">
        <v>187</v>
      </c>
    </row>
    <row r="184" spans="1:11" x14ac:dyDescent="0.35">
      <c r="A184" s="15">
        <v>45705</v>
      </c>
      <c r="B184" s="11" t="s">
        <v>260</v>
      </c>
      <c r="C184" s="19">
        <v>45709</v>
      </c>
      <c r="D184" s="13" t="s">
        <v>219</v>
      </c>
      <c r="E184" s="12">
        <v>12100</v>
      </c>
      <c r="F184" s="21" t="s">
        <v>54</v>
      </c>
      <c r="G184" s="21" t="s">
        <v>67</v>
      </c>
      <c r="H184" s="21" t="s">
        <v>79</v>
      </c>
      <c r="I184" s="21" t="s">
        <v>90</v>
      </c>
      <c r="J184" s="68">
        <f>+MONTH(ExpenseTable[[#This Row],[Voucher Date]])</f>
        <v>2</v>
      </c>
      <c r="K184" s="68" t="s">
        <v>187</v>
      </c>
    </row>
    <row r="185" spans="1:11" x14ac:dyDescent="0.35">
      <c r="A185" s="15">
        <v>45709</v>
      </c>
      <c r="B185" s="11" t="s">
        <v>260</v>
      </c>
      <c r="C185" s="19">
        <v>45709</v>
      </c>
      <c r="D185" s="13" t="s">
        <v>267</v>
      </c>
      <c r="E185" s="12">
        <v>18500</v>
      </c>
      <c r="F185" s="21" t="s">
        <v>39</v>
      </c>
      <c r="G185" s="21" t="s">
        <v>72</v>
      </c>
      <c r="H185" s="21" t="s">
        <v>73</v>
      </c>
      <c r="I185" s="21" t="s">
        <v>90</v>
      </c>
      <c r="J185" s="68">
        <f>+MONTH(ExpenseTable[[#This Row],[Voucher Date]])</f>
        <v>2</v>
      </c>
      <c r="K185" s="68" t="s">
        <v>187</v>
      </c>
    </row>
    <row r="186" spans="1:11" x14ac:dyDescent="0.35">
      <c r="A186" s="15">
        <v>45715</v>
      </c>
      <c r="B186" s="11" t="s">
        <v>260</v>
      </c>
      <c r="C186" s="19">
        <v>45709</v>
      </c>
      <c r="D186" s="13" t="s">
        <v>265</v>
      </c>
      <c r="E186" s="12">
        <v>20000</v>
      </c>
      <c r="F186" s="21" t="s">
        <v>23</v>
      </c>
      <c r="G186" s="21" t="s">
        <v>72</v>
      </c>
      <c r="H186" s="21" t="s">
        <v>73</v>
      </c>
      <c r="I186" s="21" t="s">
        <v>90</v>
      </c>
      <c r="J186" s="68">
        <f>+MONTH(ExpenseTable[[#This Row],[Voucher Date]])</f>
        <v>2</v>
      </c>
      <c r="K186" s="68" t="s">
        <v>187</v>
      </c>
    </row>
    <row r="187" spans="1:11" x14ac:dyDescent="0.35">
      <c r="A187" s="15">
        <v>45712</v>
      </c>
      <c r="B187" s="11" t="s">
        <v>260</v>
      </c>
      <c r="C187" s="19">
        <v>45709</v>
      </c>
      <c r="D187" s="13" t="s">
        <v>263</v>
      </c>
      <c r="E187" s="12">
        <v>50000</v>
      </c>
      <c r="F187" s="21" t="s">
        <v>54</v>
      </c>
      <c r="G187" s="21" t="s">
        <v>72</v>
      </c>
      <c r="H187" s="21" t="s">
        <v>73</v>
      </c>
      <c r="I187" s="21" t="s">
        <v>90</v>
      </c>
      <c r="J187" s="68">
        <f>+MONTH(ExpenseTable[[#This Row],[Voucher Date]])</f>
        <v>2</v>
      </c>
      <c r="K187" s="68" t="s">
        <v>187</v>
      </c>
    </row>
    <row r="188" spans="1:11" x14ac:dyDescent="0.35">
      <c r="A188" s="15">
        <v>45715</v>
      </c>
      <c r="B188" s="11" t="s">
        <v>260</v>
      </c>
      <c r="C188" s="19">
        <v>45709</v>
      </c>
      <c r="D188" s="13" t="s">
        <v>262</v>
      </c>
      <c r="E188" s="12">
        <v>50000</v>
      </c>
      <c r="F188" s="21" t="s">
        <v>46</v>
      </c>
      <c r="G188" s="21" t="s">
        <v>72</v>
      </c>
      <c r="H188" s="21" t="s">
        <v>73</v>
      </c>
      <c r="I188" s="21" t="s">
        <v>90</v>
      </c>
      <c r="J188" s="68">
        <f>+MONTH(ExpenseTable[[#This Row],[Voucher Date]])</f>
        <v>2</v>
      </c>
      <c r="K188" s="68" t="s">
        <v>187</v>
      </c>
    </row>
    <row r="189" spans="1:11" x14ac:dyDescent="0.35">
      <c r="A189" s="15">
        <v>45712</v>
      </c>
      <c r="B189" s="11" t="s">
        <v>260</v>
      </c>
      <c r="C189" s="19">
        <v>45709</v>
      </c>
      <c r="D189" s="13" t="s">
        <v>264</v>
      </c>
      <c r="E189" s="12">
        <v>192500</v>
      </c>
      <c r="F189" s="21" t="s">
        <v>38</v>
      </c>
      <c r="G189" s="21" t="s">
        <v>72</v>
      </c>
      <c r="H189" s="21" t="s">
        <v>73</v>
      </c>
      <c r="I189" s="21" t="s">
        <v>90</v>
      </c>
      <c r="J189" s="68">
        <f>+MONTH(ExpenseTable[[#This Row],[Voucher Date]])</f>
        <v>2</v>
      </c>
      <c r="K189" s="68" t="s">
        <v>187</v>
      </c>
    </row>
    <row r="190" spans="1:11" x14ac:dyDescent="0.35">
      <c r="A190" s="15">
        <v>45709</v>
      </c>
      <c r="B190" s="11" t="s">
        <v>260</v>
      </c>
      <c r="C190" s="19">
        <v>45709</v>
      </c>
      <c r="D190" s="13" t="s">
        <v>266</v>
      </c>
      <c r="E190" s="12">
        <v>320000</v>
      </c>
      <c r="F190" s="21" t="s">
        <v>88</v>
      </c>
      <c r="G190" s="21" t="s">
        <v>72</v>
      </c>
      <c r="H190" s="21" t="s">
        <v>73</v>
      </c>
      <c r="I190" s="21" t="s">
        <v>90</v>
      </c>
      <c r="J190" s="68">
        <f>+MONTH(ExpenseTable[[#This Row],[Voucher Date]])</f>
        <v>2</v>
      </c>
      <c r="K190" s="68" t="s">
        <v>187</v>
      </c>
    </row>
    <row r="191" spans="1:11" x14ac:dyDescent="0.35">
      <c r="A191" s="15">
        <v>45716</v>
      </c>
      <c r="B191" s="11" t="s">
        <v>851</v>
      </c>
      <c r="C191" s="19">
        <v>45709</v>
      </c>
      <c r="D191" s="13" t="s">
        <v>261</v>
      </c>
      <c r="E191" s="12">
        <v>1267.3</v>
      </c>
      <c r="F191" s="21" t="s">
        <v>28</v>
      </c>
      <c r="G191" s="21" t="s">
        <v>72</v>
      </c>
      <c r="H191" s="21" t="s">
        <v>73</v>
      </c>
      <c r="I191" s="21" t="s">
        <v>90</v>
      </c>
      <c r="J191" s="68">
        <f>+MONTH(ExpenseTable[[#This Row],[Voucher Date]])</f>
        <v>2</v>
      </c>
      <c r="K191" s="68" t="s">
        <v>187</v>
      </c>
    </row>
    <row r="192" spans="1:11" x14ac:dyDescent="0.35">
      <c r="A192" s="15">
        <v>45715</v>
      </c>
      <c r="B192" s="11" t="s">
        <v>268</v>
      </c>
      <c r="C192" s="19">
        <v>45713</v>
      </c>
      <c r="D192" s="13" t="s">
        <v>270</v>
      </c>
      <c r="E192" s="12">
        <v>200</v>
      </c>
      <c r="F192" s="21" t="s">
        <v>21</v>
      </c>
      <c r="G192" s="21" t="s">
        <v>72</v>
      </c>
      <c r="H192" s="21" t="s">
        <v>73</v>
      </c>
      <c r="I192" s="21" t="s">
        <v>90</v>
      </c>
      <c r="J192" s="68">
        <f>+MONTH(ExpenseTable[[#This Row],[Voucher Date]])</f>
        <v>2</v>
      </c>
      <c r="K192" s="68" t="s">
        <v>187</v>
      </c>
    </row>
    <row r="193" spans="1:11" x14ac:dyDescent="0.35">
      <c r="A193" s="15">
        <v>45720</v>
      </c>
      <c r="B193" s="11" t="s">
        <v>268</v>
      </c>
      <c r="C193" s="19">
        <v>45713</v>
      </c>
      <c r="D193" s="13" t="s">
        <v>220</v>
      </c>
      <c r="E193" s="12">
        <v>500</v>
      </c>
      <c r="F193" s="21" t="s">
        <v>21</v>
      </c>
      <c r="G193" s="21" t="s">
        <v>72</v>
      </c>
      <c r="H193" s="21" t="s">
        <v>73</v>
      </c>
      <c r="I193" s="21" t="s">
        <v>90</v>
      </c>
      <c r="J193" s="68">
        <f>+MONTH(ExpenseTable[[#This Row],[Voucher Date]])</f>
        <v>2</v>
      </c>
      <c r="K193" s="68" t="s">
        <v>187</v>
      </c>
    </row>
    <row r="194" spans="1:11" x14ac:dyDescent="0.35">
      <c r="A194" s="15">
        <v>45715</v>
      </c>
      <c r="B194" s="11" t="s">
        <v>268</v>
      </c>
      <c r="C194" s="19">
        <v>45713</v>
      </c>
      <c r="D194" s="13" t="s">
        <v>269</v>
      </c>
      <c r="E194" s="12">
        <v>2000</v>
      </c>
      <c r="F194" s="21" t="s">
        <v>21</v>
      </c>
      <c r="G194" s="21" t="s">
        <v>72</v>
      </c>
      <c r="H194" s="21" t="s">
        <v>73</v>
      </c>
      <c r="I194" s="21" t="s">
        <v>90</v>
      </c>
      <c r="J194" s="68">
        <f>+MONTH(ExpenseTable[[#This Row],[Voucher Date]])</f>
        <v>2</v>
      </c>
      <c r="K194" s="68" t="s">
        <v>187</v>
      </c>
    </row>
    <row r="195" spans="1:11" x14ac:dyDescent="0.35">
      <c r="A195" s="15">
        <v>45713</v>
      </c>
      <c r="B195" s="11" t="s">
        <v>268</v>
      </c>
      <c r="C195" s="19">
        <v>45713</v>
      </c>
      <c r="D195" s="13" t="s">
        <v>204</v>
      </c>
      <c r="E195" s="12">
        <v>2400</v>
      </c>
      <c r="F195" s="21" t="s">
        <v>54</v>
      </c>
      <c r="G195" s="21" t="s">
        <v>66</v>
      </c>
      <c r="H195" s="21" t="s">
        <v>68</v>
      </c>
      <c r="I195" s="21" t="s">
        <v>90</v>
      </c>
      <c r="J195" s="68">
        <f>+MONTH(ExpenseTable[[#This Row],[Voucher Date]])</f>
        <v>2</v>
      </c>
      <c r="K195" s="68" t="s">
        <v>187</v>
      </c>
    </row>
    <row r="196" spans="1:11" x14ac:dyDescent="0.35">
      <c r="A196" s="15">
        <v>45715</v>
      </c>
      <c r="B196" s="11" t="s">
        <v>268</v>
      </c>
      <c r="C196" s="19">
        <v>45713</v>
      </c>
      <c r="D196" s="13" t="s">
        <v>204</v>
      </c>
      <c r="E196" s="12">
        <v>2400</v>
      </c>
      <c r="F196" s="21" t="s">
        <v>54</v>
      </c>
      <c r="G196" s="21" t="s">
        <v>66</v>
      </c>
      <c r="H196" s="21" t="s">
        <v>68</v>
      </c>
      <c r="I196" s="21" t="s">
        <v>90</v>
      </c>
      <c r="J196" s="68">
        <f>+MONTH(ExpenseTable[[#This Row],[Voucher Date]])</f>
        <v>2</v>
      </c>
      <c r="K196" s="68" t="s">
        <v>187</v>
      </c>
    </row>
    <row r="197" spans="1:11" x14ac:dyDescent="0.35">
      <c r="A197" s="15">
        <v>45715</v>
      </c>
      <c r="B197" s="11" t="s">
        <v>268</v>
      </c>
      <c r="C197" s="19">
        <v>45713</v>
      </c>
      <c r="D197" s="13" t="s">
        <v>271</v>
      </c>
      <c r="E197" s="12">
        <v>5300</v>
      </c>
      <c r="F197" s="21" t="s">
        <v>37</v>
      </c>
      <c r="G197" s="21" t="s">
        <v>72</v>
      </c>
      <c r="H197" s="21" t="s">
        <v>73</v>
      </c>
      <c r="I197" s="21" t="s">
        <v>90</v>
      </c>
      <c r="J197" s="68">
        <f>+MONTH(ExpenseTable[[#This Row],[Voucher Date]])</f>
        <v>2</v>
      </c>
      <c r="K197" s="68" t="s">
        <v>187</v>
      </c>
    </row>
    <row r="198" spans="1:11" x14ac:dyDescent="0.35">
      <c r="A198" s="15">
        <v>45714</v>
      </c>
      <c r="B198" s="11" t="s">
        <v>268</v>
      </c>
      <c r="C198" s="19">
        <v>45713</v>
      </c>
      <c r="D198" s="13" t="s">
        <v>133</v>
      </c>
      <c r="E198" s="12">
        <v>20000</v>
      </c>
      <c r="F198" s="21" t="s">
        <v>32</v>
      </c>
      <c r="G198" s="21" t="s">
        <v>72</v>
      </c>
      <c r="H198" s="21" t="s">
        <v>73</v>
      </c>
      <c r="I198" s="21" t="s">
        <v>90</v>
      </c>
      <c r="J198" s="68">
        <f>+MONTH(ExpenseTable[[#This Row],[Voucher Date]])</f>
        <v>2</v>
      </c>
      <c r="K198" s="68" t="s">
        <v>187</v>
      </c>
    </row>
    <row r="199" spans="1:11" x14ac:dyDescent="0.35">
      <c r="A199" s="15">
        <v>45720</v>
      </c>
      <c r="B199" s="11" t="s">
        <v>268</v>
      </c>
      <c r="C199" s="19">
        <v>45713</v>
      </c>
      <c r="D199" s="13" t="s">
        <v>133</v>
      </c>
      <c r="E199" s="12">
        <v>20000</v>
      </c>
      <c r="F199" s="21" t="s">
        <v>32</v>
      </c>
      <c r="G199" s="21" t="s">
        <v>72</v>
      </c>
      <c r="H199" s="21" t="s">
        <v>73</v>
      </c>
      <c r="I199" s="21" t="s">
        <v>90</v>
      </c>
      <c r="J199" s="68">
        <f>+MONTH(ExpenseTable[[#This Row],[Voucher Date]])</f>
        <v>2</v>
      </c>
      <c r="K199" s="68" t="s">
        <v>187</v>
      </c>
    </row>
    <row r="200" spans="1:11" x14ac:dyDescent="0.35">
      <c r="A200" s="15">
        <v>45715</v>
      </c>
      <c r="B200" s="11" t="s">
        <v>1003</v>
      </c>
      <c r="C200" s="19">
        <v>45715</v>
      </c>
      <c r="D200" s="13" t="s">
        <v>1004</v>
      </c>
      <c r="E200" s="12">
        <v>800000</v>
      </c>
      <c r="F200" s="21" t="s">
        <v>50</v>
      </c>
      <c r="G200" s="21" t="s">
        <v>72</v>
      </c>
      <c r="H200" s="21" t="s">
        <v>73</v>
      </c>
      <c r="I200" s="21" t="s">
        <v>91</v>
      </c>
      <c r="J200" s="68">
        <f>+MONTH(ExpenseTable[[#This Row],[Voucher Date]])</f>
        <v>2</v>
      </c>
      <c r="K200" s="13" t="s">
        <v>238</v>
      </c>
    </row>
    <row r="201" spans="1:11" x14ac:dyDescent="0.35">
      <c r="A201" s="15">
        <v>45719</v>
      </c>
      <c r="B201" s="11" t="s">
        <v>272</v>
      </c>
      <c r="C201" s="19">
        <v>45717</v>
      </c>
      <c r="D201" s="13" t="s">
        <v>204</v>
      </c>
      <c r="E201" s="12">
        <v>2400</v>
      </c>
      <c r="F201" s="21" t="s">
        <v>54</v>
      </c>
      <c r="G201" s="21" t="s">
        <v>72</v>
      </c>
      <c r="H201" s="21" t="s">
        <v>73</v>
      </c>
      <c r="I201" s="21" t="s">
        <v>90</v>
      </c>
      <c r="J201" s="68">
        <f>+MONTH(ExpenseTable[[#This Row],[Voucher Date]])</f>
        <v>3</v>
      </c>
      <c r="K201" s="68" t="s">
        <v>238</v>
      </c>
    </row>
    <row r="202" spans="1:11" x14ac:dyDescent="0.35">
      <c r="A202" s="15">
        <v>45720</v>
      </c>
      <c r="B202" s="11" t="s">
        <v>272</v>
      </c>
      <c r="C202" s="19">
        <v>45717</v>
      </c>
      <c r="D202" s="13" t="s">
        <v>219</v>
      </c>
      <c r="E202" s="12">
        <v>3600</v>
      </c>
      <c r="F202" s="21" t="s">
        <v>54</v>
      </c>
      <c r="G202" s="21" t="s">
        <v>67</v>
      </c>
      <c r="H202" s="21" t="s">
        <v>79</v>
      </c>
      <c r="I202" s="21" t="s">
        <v>90</v>
      </c>
      <c r="J202" s="68">
        <f>+MONTH(ExpenseTable[[#This Row],[Voucher Date]])</f>
        <v>3</v>
      </c>
      <c r="K202" s="68" t="s">
        <v>238</v>
      </c>
    </row>
    <row r="203" spans="1:11" x14ac:dyDescent="0.35">
      <c r="A203" s="15">
        <v>45719</v>
      </c>
      <c r="B203" s="11" t="s">
        <v>272</v>
      </c>
      <c r="C203" s="19">
        <v>45717</v>
      </c>
      <c r="D203" s="13" t="s">
        <v>276</v>
      </c>
      <c r="E203" s="12">
        <v>10000</v>
      </c>
      <c r="F203" s="21" t="s">
        <v>57</v>
      </c>
      <c r="G203" s="21" t="s">
        <v>66</v>
      </c>
      <c r="H203" s="21" t="s">
        <v>68</v>
      </c>
      <c r="I203" s="21" t="s">
        <v>90</v>
      </c>
      <c r="J203" s="68">
        <f>+MONTH(ExpenseTable[[#This Row],[Voucher Date]])</f>
        <v>3</v>
      </c>
      <c r="K203" s="68" t="s">
        <v>238</v>
      </c>
    </row>
    <row r="204" spans="1:11" x14ac:dyDescent="0.35">
      <c r="A204" s="15">
        <v>45720</v>
      </c>
      <c r="B204" s="11" t="s">
        <v>272</v>
      </c>
      <c r="C204" s="19">
        <v>45717</v>
      </c>
      <c r="D204" s="13" t="s">
        <v>274</v>
      </c>
      <c r="E204" s="12">
        <v>12000</v>
      </c>
      <c r="F204" s="21" t="s">
        <v>85</v>
      </c>
      <c r="G204" s="21" t="s">
        <v>72</v>
      </c>
      <c r="H204" s="21" t="s">
        <v>73</v>
      </c>
      <c r="I204" s="21" t="s">
        <v>90</v>
      </c>
      <c r="J204" s="68">
        <f>+MONTH(ExpenseTable[[#This Row],[Voucher Date]])</f>
        <v>3</v>
      </c>
      <c r="K204" s="68" t="s">
        <v>238</v>
      </c>
    </row>
    <row r="205" spans="1:11" x14ac:dyDescent="0.35">
      <c r="A205" s="15">
        <v>45717</v>
      </c>
      <c r="B205" s="11" t="s">
        <v>272</v>
      </c>
      <c r="C205" s="19">
        <v>45717</v>
      </c>
      <c r="D205" s="13" t="s">
        <v>275</v>
      </c>
      <c r="E205" s="12">
        <v>16000</v>
      </c>
      <c r="F205" s="21" t="s">
        <v>22</v>
      </c>
      <c r="G205" s="21" t="s">
        <v>72</v>
      </c>
      <c r="H205" s="21" t="s">
        <v>73</v>
      </c>
      <c r="I205" s="21" t="s">
        <v>90</v>
      </c>
      <c r="J205" s="68">
        <f>+MONTH(ExpenseTable[[#This Row],[Voucher Date]])</f>
        <v>3</v>
      </c>
      <c r="K205" s="68" t="s">
        <v>238</v>
      </c>
    </row>
    <row r="206" spans="1:11" x14ac:dyDescent="0.35">
      <c r="A206" s="15">
        <v>45719</v>
      </c>
      <c r="B206" s="11" t="s">
        <v>272</v>
      </c>
      <c r="C206" s="19">
        <v>45717</v>
      </c>
      <c r="D206" s="13" t="s">
        <v>278</v>
      </c>
      <c r="E206" s="12">
        <v>17000</v>
      </c>
      <c r="F206" s="21" t="s">
        <v>31</v>
      </c>
      <c r="G206" s="21" t="s">
        <v>72</v>
      </c>
      <c r="H206" s="21" t="s">
        <v>73</v>
      </c>
      <c r="I206" s="21" t="s">
        <v>90</v>
      </c>
      <c r="J206" s="68">
        <f>+MONTH(ExpenseTable[[#This Row],[Voucher Date]])</f>
        <v>3</v>
      </c>
      <c r="K206" s="68" t="s">
        <v>238</v>
      </c>
    </row>
    <row r="207" spans="1:11" x14ac:dyDescent="0.35">
      <c r="A207" s="15">
        <v>45720</v>
      </c>
      <c r="B207" s="11" t="s">
        <v>272</v>
      </c>
      <c r="C207" s="19">
        <v>45717</v>
      </c>
      <c r="D207" s="13" t="s">
        <v>277</v>
      </c>
      <c r="E207" s="12">
        <v>44000</v>
      </c>
      <c r="F207" s="21" t="s">
        <v>25</v>
      </c>
      <c r="G207" s="21" t="s">
        <v>72</v>
      </c>
      <c r="H207" s="21" t="s">
        <v>73</v>
      </c>
      <c r="I207" s="21" t="s">
        <v>90</v>
      </c>
      <c r="J207" s="68">
        <f>+MONTH(ExpenseTable[[#This Row],[Voucher Date]])</f>
        <v>3</v>
      </c>
      <c r="K207" s="68" t="s">
        <v>238</v>
      </c>
    </row>
    <row r="208" spans="1:11" x14ac:dyDescent="0.35">
      <c r="A208" s="15">
        <v>45719</v>
      </c>
      <c r="B208" s="11" t="s">
        <v>272</v>
      </c>
      <c r="C208" s="19">
        <v>45717</v>
      </c>
      <c r="D208" s="13" t="s">
        <v>273</v>
      </c>
      <c r="E208" s="12">
        <v>50000</v>
      </c>
      <c r="F208" s="21" t="s">
        <v>85</v>
      </c>
      <c r="G208" s="21" t="s">
        <v>72</v>
      </c>
      <c r="H208" s="21" t="s">
        <v>73</v>
      </c>
      <c r="I208" s="21" t="s">
        <v>90</v>
      </c>
      <c r="J208" s="68">
        <f>+MONTH(ExpenseTable[[#This Row],[Voucher Date]])</f>
        <v>3</v>
      </c>
      <c r="K208" s="68" t="s">
        <v>238</v>
      </c>
    </row>
    <row r="209" spans="1:11" x14ac:dyDescent="0.35">
      <c r="A209" s="15">
        <v>45738</v>
      </c>
      <c r="B209" s="11" t="s">
        <v>971</v>
      </c>
      <c r="C209" s="19">
        <v>45737</v>
      </c>
      <c r="D209" s="13" t="s">
        <v>248</v>
      </c>
      <c r="E209" s="12">
        <v>50100</v>
      </c>
      <c r="F209" s="21" t="s">
        <v>35</v>
      </c>
      <c r="G209" s="21" t="s">
        <v>72</v>
      </c>
      <c r="H209" s="21" t="s">
        <v>73</v>
      </c>
      <c r="I209" s="21" t="s">
        <v>1123</v>
      </c>
      <c r="J209" s="68">
        <f>+MONTH(ExpenseTable[[#This Row],[Voucher Date]])</f>
        <v>3</v>
      </c>
      <c r="K209" s="68" t="s">
        <v>238</v>
      </c>
    </row>
    <row r="210" spans="1:11" x14ac:dyDescent="0.35">
      <c r="A210" s="15">
        <v>45720</v>
      </c>
      <c r="B210" s="11" t="s">
        <v>279</v>
      </c>
      <c r="C210" s="19">
        <v>45719</v>
      </c>
      <c r="D210" s="13" t="s">
        <v>280</v>
      </c>
      <c r="E210" s="12">
        <v>30000</v>
      </c>
      <c r="F210" s="21" t="s">
        <v>4</v>
      </c>
      <c r="G210" s="21" t="s">
        <v>72</v>
      </c>
      <c r="H210" s="21" t="s">
        <v>73</v>
      </c>
      <c r="I210" s="21" t="s">
        <v>91</v>
      </c>
      <c r="J210" s="68">
        <f>+MONTH(ExpenseTable[[#This Row],[Voucher Date]])</f>
        <v>3</v>
      </c>
      <c r="K210" s="68" t="s">
        <v>238</v>
      </c>
    </row>
    <row r="211" spans="1:11" x14ac:dyDescent="0.35">
      <c r="A211" s="15">
        <v>45720</v>
      </c>
      <c r="B211" s="11" t="s">
        <v>279</v>
      </c>
      <c r="C211" s="19">
        <v>45719</v>
      </c>
      <c r="D211" s="13" t="s">
        <v>281</v>
      </c>
      <c r="E211" s="12">
        <v>30000</v>
      </c>
      <c r="F211" s="21" t="s">
        <v>30</v>
      </c>
      <c r="G211" s="21" t="s">
        <v>72</v>
      </c>
      <c r="H211" s="21" t="s">
        <v>73</v>
      </c>
      <c r="I211" s="21" t="s">
        <v>91</v>
      </c>
      <c r="J211" s="68">
        <f>+MONTH(ExpenseTable[[#This Row],[Voucher Date]])</f>
        <v>3</v>
      </c>
      <c r="K211" s="68" t="s">
        <v>238</v>
      </c>
    </row>
    <row r="212" spans="1:11" x14ac:dyDescent="0.35">
      <c r="A212" s="15">
        <v>45720</v>
      </c>
      <c r="B212" s="11" t="s">
        <v>279</v>
      </c>
      <c r="C212" s="19">
        <v>45719</v>
      </c>
      <c r="D212" s="13" t="s">
        <v>282</v>
      </c>
      <c r="E212" s="12">
        <v>50000</v>
      </c>
      <c r="F212" s="21" t="s">
        <v>29</v>
      </c>
      <c r="G212" s="21" t="s">
        <v>72</v>
      </c>
      <c r="H212" s="21" t="s">
        <v>73</v>
      </c>
      <c r="I212" s="21" t="s">
        <v>91</v>
      </c>
      <c r="J212" s="68">
        <f>+MONTH(ExpenseTable[[#This Row],[Voucher Date]])</f>
        <v>3</v>
      </c>
      <c r="K212" s="68" t="s">
        <v>238</v>
      </c>
    </row>
    <row r="213" spans="1:11" x14ac:dyDescent="0.35">
      <c r="A213" s="15">
        <v>45720</v>
      </c>
      <c r="B213" s="11" t="s">
        <v>279</v>
      </c>
      <c r="C213" s="19">
        <v>45719</v>
      </c>
      <c r="D213" s="13" t="s">
        <v>284</v>
      </c>
      <c r="E213" s="12">
        <v>70000</v>
      </c>
      <c r="F213" s="21" t="s">
        <v>42</v>
      </c>
      <c r="G213" s="21" t="s">
        <v>72</v>
      </c>
      <c r="H213" s="21" t="s">
        <v>73</v>
      </c>
      <c r="I213" s="21" t="s">
        <v>91</v>
      </c>
      <c r="J213" s="68">
        <f>+MONTH(ExpenseTable[[#This Row],[Voucher Date]])</f>
        <v>3</v>
      </c>
      <c r="K213" s="68" t="s">
        <v>238</v>
      </c>
    </row>
    <row r="214" spans="1:11" x14ac:dyDescent="0.35">
      <c r="A214" s="15">
        <v>45720</v>
      </c>
      <c r="B214" s="11" t="s">
        <v>279</v>
      </c>
      <c r="C214" s="19">
        <v>45719</v>
      </c>
      <c r="D214" s="13" t="s">
        <v>285</v>
      </c>
      <c r="E214" s="12">
        <v>379116.28</v>
      </c>
      <c r="F214" s="21" t="s">
        <v>83</v>
      </c>
      <c r="G214" s="21" t="s">
        <v>72</v>
      </c>
      <c r="H214" s="21" t="s">
        <v>73</v>
      </c>
      <c r="I214" s="21" t="s">
        <v>91</v>
      </c>
      <c r="J214" s="68">
        <f>+MONTH(ExpenseTable[[#This Row],[Voucher Date]])</f>
        <v>3</v>
      </c>
      <c r="K214" s="68" t="s">
        <v>238</v>
      </c>
    </row>
    <row r="215" spans="1:11" x14ac:dyDescent="0.35">
      <c r="A215" s="15">
        <v>45720</v>
      </c>
      <c r="B215" s="11" t="s">
        <v>279</v>
      </c>
      <c r="C215" s="19">
        <v>45719</v>
      </c>
      <c r="D215" s="13" t="s">
        <v>283</v>
      </c>
      <c r="E215" s="12">
        <v>1130121.9099999999</v>
      </c>
      <c r="F215" s="21" t="s">
        <v>29</v>
      </c>
      <c r="G215" s="21" t="s">
        <v>72</v>
      </c>
      <c r="H215" s="21" t="s">
        <v>73</v>
      </c>
      <c r="I215" s="21" t="s">
        <v>91</v>
      </c>
      <c r="J215" s="68">
        <f>+MONTH(ExpenseTable[[#This Row],[Voucher Date]])</f>
        <v>3</v>
      </c>
      <c r="K215" s="68" t="s">
        <v>238</v>
      </c>
    </row>
    <row r="216" spans="1:11" x14ac:dyDescent="0.35">
      <c r="A216" s="15">
        <v>45721</v>
      </c>
      <c r="B216" s="11" t="s">
        <v>286</v>
      </c>
      <c r="C216" s="19">
        <v>45720</v>
      </c>
      <c r="D216" s="13" t="s">
        <v>294</v>
      </c>
      <c r="E216" s="12">
        <v>1500</v>
      </c>
      <c r="F216" s="21" t="s">
        <v>23</v>
      </c>
      <c r="G216" s="21" t="s">
        <v>72</v>
      </c>
      <c r="H216" s="21" t="s">
        <v>73</v>
      </c>
      <c r="I216" s="21" t="s">
        <v>1123</v>
      </c>
      <c r="J216" s="68">
        <f>+MONTH(ExpenseTable[[#This Row],[Voucher Date]])</f>
        <v>3</v>
      </c>
      <c r="K216" s="68" t="s">
        <v>238</v>
      </c>
    </row>
    <row r="217" spans="1:11" x14ac:dyDescent="0.35">
      <c r="A217" s="15">
        <v>45720</v>
      </c>
      <c r="B217" s="11" t="s">
        <v>286</v>
      </c>
      <c r="C217" s="19">
        <v>45720</v>
      </c>
      <c r="D217" s="13" t="s">
        <v>293</v>
      </c>
      <c r="E217" s="12">
        <v>10000</v>
      </c>
      <c r="F217" s="21" t="s">
        <v>23</v>
      </c>
      <c r="G217" s="21" t="s">
        <v>72</v>
      </c>
      <c r="H217" s="21" t="s">
        <v>73</v>
      </c>
      <c r="I217" s="21" t="s">
        <v>1123</v>
      </c>
      <c r="J217" s="68">
        <f>+MONTH(ExpenseTable[[#This Row],[Voucher Date]])</f>
        <v>3</v>
      </c>
      <c r="K217" s="68" t="s">
        <v>238</v>
      </c>
    </row>
    <row r="218" spans="1:11" x14ac:dyDescent="0.35">
      <c r="A218" s="15">
        <v>45723</v>
      </c>
      <c r="B218" s="11" t="s">
        <v>286</v>
      </c>
      <c r="C218" s="19">
        <v>45720</v>
      </c>
      <c r="D218" s="13" t="s">
        <v>292</v>
      </c>
      <c r="E218" s="12">
        <v>40000</v>
      </c>
      <c r="F218" s="21" t="s">
        <v>35</v>
      </c>
      <c r="G218" s="21" t="s">
        <v>72</v>
      </c>
      <c r="H218" s="21" t="s">
        <v>73</v>
      </c>
      <c r="I218" s="21" t="s">
        <v>1123</v>
      </c>
      <c r="J218" s="68">
        <f>+MONTH(ExpenseTable[[#This Row],[Voucher Date]])</f>
        <v>3</v>
      </c>
      <c r="K218" s="68" t="s">
        <v>238</v>
      </c>
    </row>
    <row r="219" spans="1:11" x14ac:dyDescent="0.35">
      <c r="A219" s="15">
        <v>45722</v>
      </c>
      <c r="B219" s="11" t="s">
        <v>286</v>
      </c>
      <c r="C219" s="19">
        <v>45720</v>
      </c>
      <c r="D219" s="13" t="s">
        <v>289</v>
      </c>
      <c r="E219" s="12">
        <v>43450</v>
      </c>
      <c r="F219" s="21" t="s">
        <v>50</v>
      </c>
      <c r="G219" s="21" t="s">
        <v>72</v>
      </c>
      <c r="H219" s="21" t="s">
        <v>73</v>
      </c>
      <c r="I219" s="21" t="s">
        <v>1123</v>
      </c>
      <c r="J219" s="68">
        <f>+MONTH(ExpenseTable[[#This Row],[Voucher Date]])</f>
        <v>3</v>
      </c>
      <c r="K219" s="68" t="s">
        <v>238</v>
      </c>
    </row>
    <row r="220" spans="1:11" x14ac:dyDescent="0.35">
      <c r="A220" s="15">
        <v>45720</v>
      </c>
      <c r="B220" s="11" t="s">
        <v>286</v>
      </c>
      <c r="C220" s="19">
        <v>45720</v>
      </c>
      <c r="D220" s="13" t="s">
        <v>287</v>
      </c>
      <c r="E220" s="12">
        <v>50000</v>
      </c>
      <c r="F220" s="21" t="s">
        <v>20</v>
      </c>
      <c r="G220" s="21" t="s">
        <v>72</v>
      </c>
      <c r="H220" s="21" t="s">
        <v>73</v>
      </c>
      <c r="I220" s="21" t="s">
        <v>1123</v>
      </c>
      <c r="J220" s="68">
        <f>+MONTH(ExpenseTable[[#This Row],[Voucher Date]])</f>
        <v>3</v>
      </c>
      <c r="K220" s="68" t="s">
        <v>238</v>
      </c>
    </row>
    <row r="221" spans="1:11" x14ac:dyDescent="0.35">
      <c r="A221" s="15">
        <v>45721</v>
      </c>
      <c r="B221" s="11" t="s">
        <v>286</v>
      </c>
      <c r="C221" s="19">
        <v>45720</v>
      </c>
      <c r="D221" s="13" t="s">
        <v>288</v>
      </c>
      <c r="E221" s="12">
        <v>50000</v>
      </c>
      <c r="F221" s="21" t="s">
        <v>54</v>
      </c>
      <c r="G221" s="21" t="s">
        <v>67</v>
      </c>
      <c r="H221" s="21" t="s">
        <v>79</v>
      </c>
      <c r="I221" s="21" t="s">
        <v>1123</v>
      </c>
      <c r="J221" s="68">
        <f>+MONTH(ExpenseTable[[#This Row],[Voucher Date]])</f>
        <v>3</v>
      </c>
      <c r="K221" s="68" t="s">
        <v>238</v>
      </c>
    </row>
    <row r="222" spans="1:11" x14ac:dyDescent="0.35">
      <c r="A222" s="15">
        <v>45723</v>
      </c>
      <c r="B222" s="11" t="s">
        <v>286</v>
      </c>
      <c r="C222" s="19">
        <v>45720</v>
      </c>
      <c r="D222" s="13" t="s">
        <v>291</v>
      </c>
      <c r="E222" s="12">
        <v>60000</v>
      </c>
      <c r="F222" s="21" t="s">
        <v>22</v>
      </c>
      <c r="G222" s="21" t="s">
        <v>72</v>
      </c>
      <c r="H222" s="21" t="s">
        <v>73</v>
      </c>
      <c r="I222" s="21" t="s">
        <v>1123</v>
      </c>
      <c r="J222" s="68">
        <f>+MONTH(ExpenseTable[[#This Row],[Voucher Date]])</f>
        <v>3</v>
      </c>
      <c r="K222" s="68" t="s">
        <v>238</v>
      </c>
    </row>
    <row r="223" spans="1:11" x14ac:dyDescent="0.35">
      <c r="A223" s="15">
        <v>45721</v>
      </c>
      <c r="B223" s="11" t="s">
        <v>286</v>
      </c>
      <c r="C223" s="19">
        <v>45720</v>
      </c>
      <c r="D223" s="13" t="s">
        <v>290</v>
      </c>
      <c r="E223" s="12">
        <v>625000</v>
      </c>
      <c r="F223" s="21" t="s">
        <v>5</v>
      </c>
      <c r="G223" s="21" t="s">
        <v>72</v>
      </c>
      <c r="H223" s="21" t="s">
        <v>73</v>
      </c>
      <c r="I223" s="21" t="s">
        <v>1123</v>
      </c>
      <c r="J223" s="68">
        <f>+MONTH(ExpenseTable[[#This Row],[Voucher Date]])</f>
        <v>3</v>
      </c>
      <c r="K223" s="68" t="s">
        <v>238</v>
      </c>
    </row>
    <row r="224" spans="1:11" x14ac:dyDescent="0.35">
      <c r="A224" s="15">
        <v>45720</v>
      </c>
      <c r="B224" s="11" t="s">
        <v>295</v>
      </c>
      <c r="C224" s="19">
        <v>45721</v>
      </c>
      <c r="D224" s="13" t="s">
        <v>296</v>
      </c>
      <c r="E224" s="12">
        <v>500</v>
      </c>
      <c r="F224" s="21" t="s">
        <v>27</v>
      </c>
      <c r="G224" s="21" t="s">
        <v>72</v>
      </c>
      <c r="H224" s="21" t="s">
        <v>73</v>
      </c>
      <c r="I224" s="21" t="s">
        <v>90</v>
      </c>
      <c r="J224" s="68">
        <f>+MONTH(ExpenseTable[[#This Row],[Voucher Date]])</f>
        <v>3</v>
      </c>
      <c r="K224" s="68" t="s">
        <v>238</v>
      </c>
    </row>
    <row r="225" spans="1:11" x14ac:dyDescent="0.35">
      <c r="A225" s="15">
        <v>45721</v>
      </c>
      <c r="B225" s="11" t="s">
        <v>295</v>
      </c>
      <c r="C225" s="19">
        <v>45721</v>
      </c>
      <c r="D225" s="13" t="s">
        <v>297</v>
      </c>
      <c r="E225" s="12">
        <v>1950</v>
      </c>
      <c r="F225" s="21" t="s">
        <v>27</v>
      </c>
      <c r="G225" s="21" t="s">
        <v>72</v>
      </c>
      <c r="H225" s="21" t="s">
        <v>73</v>
      </c>
      <c r="I225" s="21" t="s">
        <v>90</v>
      </c>
      <c r="J225" s="68">
        <f>+MONTH(ExpenseTable[[#This Row],[Voucher Date]])</f>
        <v>3</v>
      </c>
      <c r="K225" s="68" t="s">
        <v>238</v>
      </c>
    </row>
    <row r="226" spans="1:11" x14ac:dyDescent="0.35">
      <c r="A226" s="15">
        <v>45721</v>
      </c>
      <c r="B226" s="11" t="s">
        <v>295</v>
      </c>
      <c r="C226" s="19">
        <v>45721</v>
      </c>
      <c r="D226" s="13" t="s">
        <v>299</v>
      </c>
      <c r="E226" s="12">
        <v>1950</v>
      </c>
      <c r="F226" s="21" t="s">
        <v>27</v>
      </c>
      <c r="G226" s="21" t="s">
        <v>72</v>
      </c>
      <c r="H226" s="21" t="s">
        <v>73</v>
      </c>
      <c r="I226" s="21" t="s">
        <v>90</v>
      </c>
      <c r="J226" s="68">
        <f>+MONTH(ExpenseTable[[#This Row],[Voucher Date]])</f>
        <v>3</v>
      </c>
      <c r="K226" s="68" t="s">
        <v>238</v>
      </c>
    </row>
    <row r="227" spans="1:11" x14ac:dyDescent="0.35">
      <c r="A227" s="15">
        <v>45721</v>
      </c>
      <c r="B227" s="11" t="s">
        <v>295</v>
      </c>
      <c r="C227" s="19">
        <v>45721</v>
      </c>
      <c r="D227" s="13" t="s">
        <v>218</v>
      </c>
      <c r="E227" s="12">
        <v>2500</v>
      </c>
      <c r="F227" s="21" t="s">
        <v>54</v>
      </c>
      <c r="G227" s="21" t="s">
        <v>66</v>
      </c>
      <c r="H227" s="21" t="s">
        <v>68</v>
      </c>
      <c r="I227" s="21" t="s">
        <v>90</v>
      </c>
      <c r="J227" s="68">
        <f>+MONTH(ExpenseTable[[#This Row],[Voucher Date]])</f>
        <v>3</v>
      </c>
      <c r="K227" s="68" t="s">
        <v>238</v>
      </c>
    </row>
    <row r="228" spans="1:11" x14ac:dyDescent="0.35">
      <c r="A228" s="15">
        <v>45721</v>
      </c>
      <c r="B228" s="11" t="s">
        <v>295</v>
      </c>
      <c r="C228" s="19">
        <v>45721</v>
      </c>
      <c r="D228" s="13" t="s">
        <v>298</v>
      </c>
      <c r="E228" s="12">
        <v>3000</v>
      </c>
      <c r="F228" s="21" t="s">
        <v>27</v>
      </c>
      <c r="G228" s="21" t="s">
        <v>72</v>
      </c>
      <c r="H228" s="21" t="s">
        <v>73</v>
      </c>
      <c r="I228" s="21" t="s">
        <v>90</v>
      </c>
      <c r="J228" s="68">
        <f>+MONTH(ExpenseTable[[#This Row],[Voucher Date]])</f>
        <v>3</v>
      </c>
      <c r="K228" s="68" t="s">
        <v>238</v>
      </c>
    </row>
    <row r="229" spans="1:11" x14ac:dyDescent="0.35">
      <c r="A229" s="15">
        <v>45721</v>
      </c>
      <c r="B229" s="11" t="s">
        <v>295</v>
      </c>
      <c r="C229" s="19">
        <v>45721</v>
      </c>
      <c r="D229" s="13" t="s">
        <v>300</v>
      </c>
      <c r="E229" s="12">
        <v>10000</v>
      </c>
      <c r="F229" s="21" t="s">
        <v>27</v>
      </c>
      <c r="G229" s="21" t="s">
        <v>72</v>
      </c>
      <c r="H229" s="21" t="s">
        <v>73</v>
      </c>
      <c r="I229" s="21" t="s">
        <v>90</v>
      </c>
      <c r="J229" s="68">
        <f>+MONTH(ExpenseTable[[#This Row],[Voucher Date]])</f>
        <v>3</v>
      </c>
      <c r="K229" s="68" t="s">
        <v>238</v>
      </c>
    </row>
    <row r="230" spans="1:11" x14ac:dyDescent="0.35">
      <c r="A230" s="15">
        <v>45720</v>
      </c>
      <c r="B230" s="11" t="s">
        <v>295</v>
      </c>
      <c r="C230" s="19">
        <v>45721</v>
      </c>
      <c r="D230" s="13" t="s">
        <v>302</v>
      </c>
      <c r="E230" s="12">
        <v>12000</v>
      </c>
      <c r="F230" s="21" t="s">
        <v>23</v>
      </c>
      <c r="G230" s="21" t="s">
        <v>72</v>
      </c>
      <c r="H230" s="21" t="s">
        <v>73</v>
      </c>
      <c r="I230" s="21" t="s">
        <v>90</v>
      </c>
      <c r="J230" s="68">
        <f>+MONTH(ExpenseTable[[#This Row],[Voucher Date]])</f>
        <v>3</v>
      </c>
      <c r="K230" s="68" t="s">
        <v>238</v>
      </c>
    </row>
    <row r="231" spans="1:11" x14ac:dyDescent="0.35">
      <c r="A231" s="15">
        <v>45722</v>
      </c>
      <c r="B231" s="11" t="s">
        <v>295</v>
      </c>
      <c r="C231" s="19">
        <v>45721</v>
      </c>
      <c r="D231" s="13" t="s">
        <v>301</v>
      </c>
      <c r="E231" s="12">
        <v>75000</v>
      </c>
      <c r="F231" s="21" t="s">
        <v>38</v>
      </c>
      <c r="G231" s="21" t="s">
        <v>72</v>
      </c>
      <c r="H231" s="21" t="s">
        <v>73</v>
      </c>
      <c r="I231" s="21" t="s">
        <v>90</v>
      </c>
      <c r="J231" s="68">
        <f>+MONTH(ExpenseTable[[#This Row],[Voucher Date]])</f>
        <v>3</v>
      </c>
      <c r="K231" s="68" t="s">
        <v>238</v>
      </c>
    </row>
    <row r="232" spans="1:11" x14ac:dyDescent="0.35">
      <c r="A232" s="15">
        <v>45726</v>
      </c>
      <c r="B232" s="11" t="s">
        <v>303</v>
      </c>
      <c r="C232" s="19">
        <v>45722</v>
      </c>
      <c r="D232" s="13" t="s">
        <v>304</v>
      </c>
      <c r="E232" s="12">
        <v>1000</v>
      </c>
      <c r="F232" s="21" t="s">
        <v>21</v>
      </c>
      <c r="G232" s="21" t="s">
        <v>72</v>
      </c>
      <c r="H232" s="21" t="s">
        <v>73</v>
      </c>
      <c r="I232" s="21" t="s">
        <v>90</v>
      </c>
      <c r="J232" s="68">
        <f>+MONTH(ExpenseTable[[#This Row],[Voucher Date]])</f>
        <v>3</v>
      </c>
      <c r="K232" s="68" t="s">
        <v>238</v>
      </c>
    </row>
    <row r="233" spans="1:11" x14ac:dyDescent="0.35">
      <c r="A233" s="15">
        <v>45726</v>
      </c>
      <c r="B233" s="11" t="s">
        <v>303</v>
      </c>
      <c r="C233" s="19">
        <v>45722</v>
      </c>
      <c r="D233" s="13" t="s">
        <v>308</v>
      </c>
      <c r="E233" s="12">
        <v>3920</v>
      </c>
      <c r="F233" s="21" t="s">
        <v>27</v>
      </c>
      <c r="G233" s="21" t="s">
        <v>72</v>
      </c>
      <c r="H233" s="21" t="s">
        <v>73</v>
      </c>
      <c r="I233" s="21" t="s">
        <v>90</v>
      </c>
      <c r="J233" s="68">
        <f>+MONTH(ExpenseTable[[#This Row],[Voucher Date]])</f>
        <v>3</v>
      </c>
      <c r="K233" s="68" t="s">
        <v>238</v>
      </c>
    </row>
    <row r="234" spans="1:11" x14ac:dyDescent="0.35">
      <c r="A234" s="15">
        <v>45723</v>
      </c>
      <c r="B234" s="11" t="s">
        <v>303</v>
      </c>
      <c r="C234" s="19">
        <v>45722</v>
      </c>
      <c r="D234" s="13" t="s">
        <v>288</v>
      </c>
      <c r="E234" s="12">
        <v>12000</v>
      </c>
      <c r="F234" s="21" t="s">
        <v>40</v>
      </c>
      <c r="G234" s="21" t="s">
        <v>72</v>
      </c>
      <c r="H234" s="21" t="s">
        <v>73</v>
      </c>
      <c r="I234" s="21" t="s">
        <v>90</v>
      </c>
      <c r="J234" s="68">
        <f>+MONTH(ExpenseTable[[#This Row],[Voucher Date]])</f>
        <v>3</v>
      </c>
      <c r="K234" s="68" t="s">
        <v>238</v>
      </c>
    </row>
    <row r="235" spans="1:11" x14ac:dyDescent="0.35">
      <c r="A235" s="15">
        <v>45723</v>
      </c>
      <c r="B235" s="11" t="s">
        <v>303</v>
      </c>
      <c r="C235" s="19">
        <v>45722</v>
      </c>
      <c r="D235" s="13" t="s">
        <v>133</v>
      </c>
      <c r="E235" s="12">
        <v>20000</v>
      </c>
      <c r="F235" s="21" t="s">
        <v>32</v>
      </c>
      <c r="G235" s="21" t="s">
        <v>72</v>
      </c>
      <c r="H235" s="21" t="s">
        <v>73</v>
      </c>
      <c r="I235" s="21" t="s">
        <v>90</v>
      </c>
      <c r="J235" s="68">
        <f>+MONTH(ExpenseTable[[#This Row],[Voucher Date]])</f>
        <v>3</v>
      </c>
      <c r="K235" s="68" t="s">
        <v>238</v>
      </c>
    </row>
    <row r="236" spans="1:11" x14ac:dyDescent="0.35">
      <c r="A236" s="15">
        <v>45726</v>
      </c>
      <c r="B236" s="11" t="s">
        <v>303</v>
      </c>
      <c r="C236" s="19">
        <v>45722</v>
      </c>
      <c r="D236" s="13" t="s">
        <v>133</v>
      </c>
      <c r="E236" s="12">
        <v>20000</v>
      </c>
      <c r="F236" s="21" t="s">
        <v>32</v>
      </c>
      <c r="G236" s="21" t="s">
        <v>72</v>
      </c>
      <c r="H236" s="21" t="s">
        <v>73</v>
      </c>
      <c r="I236" s="21" t="s">
        <v>90</v>
      </c>
      <c r="J236" s="68">
        <f>+MONTH(ExpenseTable[[#This Row],[Voucher Date]])</f>
        <v>3</v>
      </c>
      <c r="K236" s="68" t="s">
        <v>238</v>
      </c>
    </row>
    <row r="237" spans="1:11" x14ac:dyDescent="0.35">
      <c r="A237" s="15">
        <v>45722</v>
      </c>
      <c r="B237" s="11" t="s">
        <v>303</v>
      </c>
      <c r="C237" s="19">
        <v>45722</v>
      </c>
      <c r="D237" s="13" t="s">
        <v>306</v>
      </c>
      <c r="E237" s="12">
        <v>40000</v>
      </c>
      <c r="F237" s="21" t="s">
        <v>27</v>
      </c>
      <c r="G237" s="21" t="s">
        <v>72</v>
      </c>
      <c r="H237" s="21" t="s">
        <v>73</v>
      </c>
      <c r="I237" s="21" t="s">
        <v>90</v>
      </c>
      <c r="J237" s="68">
        <f>+MONTH(ExpenseTable[[#This Row],[Voucher Date]])</f>
        <v>3</v>
      </c>
      <c r="K237" s="68" t="s">
        <v>238</v>
      </c>
    </row>
    <row r="238" spans="1:11" x14ac:dyDescent="0.35">
      <c r="A238" s="15">
        <v>45723</v>
      </c>
      <c r="B238" s="11" t="s">
        <v>303</v>
      </c>
      <c r="C238" s="19">
        <v>45722</v>
      </c>
      <c r="D238" s="13" t="s">
        <v>307</v>
      </c>
      <c r="E238" s="12">
        <v>50000</v>
      </c>
      <c r="F238" s="21" t="s">
        <v>27</v>
      </c>
      <c r="G238" s="21" t="s">
        <v>72</v>
      </c>
      <c r="H238" s="21" t="s">
        <v>73</v>
      </c>
      <c r="I238" s="21" t="s">
        <v>90</v>
      </c>
      <c r="J238" s="68">
        <f>+MONTH(ExpenseTable[[#This Row],[Voucher Date]])</f>
        <v>3</v>
      </c>
      <c r="K238" s="68" t="s">
        <v>238</v>
      </c>
    </row>
    <row r="239" spans="1:11" x14ac:dyDescent="0.35">
      <c r="A239" s="15">
        <v>45722</v>
      </c>
      <c r="B239" s="11" t="s">
        <v>303</v>
      </c>
      <c r="C239" s="19">
        <v>45722</v>
      </c>
      <c r="D239" s="13" t="s">
        <v>305</v>
      </c>
      <c r="E239" s="12">
        <v>80000</v>
      </c>
      <c r="F239" s="21" t="s">
        <v>27</v>
      </c>
      <c r="G239" s="21" t="s">
        <v>72</v>
      </c>
      <c r="H239" s="21" t="s">
        <v>73</v>
      </c>
      <c r="I239" s="21" t="s">
        <v>90</v>
      </c>
      <c r="J239" s="68">
        <f>+MONTH(ExpenseTable[[#This Row],[Voucher Date]])</f>
        <v>3</v>
      </c>
      <c r="K239" s="68" t="s">
        <v>238</v>
      </c>
    </row>
    <row r="240" spans="1:11" x14ac:dyDescent="0.35">
      <c r="A240" s="15">
        <v>45728</v>
      </c>
      <c r="B240" s="11" t="s">
        <v>973</v>
      </c>
      <c r="C240" s="19">
        <v>45722</v>
      </c>
      <c r="D240" s="13" t="s">
        <v>330</v>
      </c>
      <c r="E240" s="12">
        <v>100000</v>
      </c>
      <c r="F240" s="21" t="s">
        <v>47</v>
      </c>
      <c r="G240" s="21" t="s">
        <v>72</v>
      </c>
      <c r="H240" s="21" t="s">
        <v>73</v>
      </c>
      <c r="I240" s="21" t="s">
        <v>91</v>
      </c>
      <c r="J240" s="68">
        <f>+MONTH(ExpenseTable[[#This Row],[Voucher Date]])</f>
        <v>3</v>
      </c>
      <c r="K240" s="68" t="s">
        <v>238</v>
      </c>
    </row>
    <row r="241" spans="1:11" x14ac:dyDescent="0.35">
      <c r="A241" s="15">
        <v>45723</v>
      </c>
      <c r="B241" s="11" t="s">
        <v>973</v>
      </c>
      <c r="C241" s="19">
        <v>45722</v>
      </c>
      <c r="D241" s="13" t="s">
        <v>312</v>
      </c>
      <c r="E241" s="12">
        <v>150000</v>
      </c>
      <c r="F241" s="21" t="s">
        <v>22</v>
      </c>
      <c r="G241" s="21" t="s">
        <v>72</v>
      </c>
      <c r="H241" s="21" t="s">
        <v>73</v>
      </c>
      <c r="I241" s="21" t="s">
        <v>91</v>
      </c>
      <c r="J241" s="68">
        <f>+MONTH(ExpenseTable[[#This Row],[Voucher Date]])</f>
        <v>3</v>
      </c>
      <c r="K241" s="68" t="s">
        <v>238</v>
      </c>
    </row>
    <row r="242" spans="1:11" x14ac:dyDescent="0.35">
      <c r="A242" s="15">
        <v>45745</v>
      </c>
      <c r="B242" s="11" t="s">
        <v>973</v>
      </c>
      <c r="C242" s="19">
        <v>45722</v>
      </c>
      <c r="D242" s="13" t="s">
        <v>315</v>
      </c>
      <c r="E242" s="12">
        <v>150000</v>
      </c>
      <c r="F242" s="21" t="s">
        <v>30</v>
      </c>
      <c r="G242" s="21" t="s">
        <v>72</v>
      </c>
      <c r="H242" s="21" t="s">
        <v>73</v>
      </c>
      <c r="I242" s="21" t="s">
        <v>91</v>
      </c>
      <c r="J242" s="68">
        <f>+MONTH(ExpenseTable[[#This Row],[Voucher Date]])</f>
        <v>3</v>
      </c>
      <c r="K242" s="68" t="s">
        <v>238</v>
      </c>
    </row>
    <row r="243" spans="1:11" x14ac:dyDescent="0.35">
      <c r="A243" s="15">
        <v>45740</v>
      </c>
      <c r="B243" s="11" t="s">
        <v>973</v>
      </c>
      <c r="C243" s="19">
        <v>45722</v>
      </c>
      <c r="D243" s="13" t="s">
        <v>346</v>
      </c>
      <c r="E243" s="12">
        <v>152468.32999999999</v>
      </c>
      <c r="F243" s="21" t="s">
        <v>54</v>
      </c>
      <c r="G243" s="21" t="s">
        <v>80</v>
      </c>
      <c r="H243" s="21" t="s">
        <v>81</v>
      </c>
      <c r="I243" s="21" t="s">
        <v>91</v>
      </c>
      <c r="J243" s="68">
        <f>+MONTH(ExpenseTable[[#This Row],[Voucher Date]])</f>
        <v>3</v>
      </c>
      <c r="K243" s="68" t="s">
        <v>238</v>
      </c>
    </row>
    <row r="244" spans="1:11" x14ac:dyDescent="0.35">
      <c r="A244" s="15">
        <v>45735</v>
      </c>
      <c r="B244" s="11" t="s">
        <v>973</v>
      </c>
      <c r="C244" s="19">
        <v>45722</v>
      </c>
      <c r="D244" s="13" t="s">
        <v>345</v>
      </c>
      <c r="E244" s="12">
        <v>153909.41</v>
      </c>
      <c r="F244" s="21" t="s">
        <v>54</v>
      </c>
      <c r="G244" s="21" t="s">
        <v>80</v>
      </c>
      <c r="H244" s="21" t="s">
        <v>81</v>
      </c>
      <c r="I244" s="21" t="s">
        <v>91</v>
      </c>
      <c r="J244" s="68">
        <f>+MONTH(ExpenseTable[[#This Row],[Voucher Date]])</f>
        <v>3</v>
      </c>
      <c r="K244" s="68" t="s">
        <v>238</v>
      </c>
    </row>
    <row r="245" spans="1:11" x14ac:dyDescent="0.35">
      <c r="A245" s="15">
        <v>45723</v>
      </c>
      <c r="B245" s="11" t="s">
        <v>973</v>
      </c>
      <c r="C245" s="19">
        <v>45722</v>
      </c>
      <c r="D245" s="13" t="s">
        <v>314</v>
      </c>
      <c r="E245" s="12">
        <v>190000</v>
      </c>
      <c r="F245" s="21" t="s">
        <v>27</v>
      </c>
      <c r="G245" s="21" t="s">
        <v>72</v>
      </c>
      <c r="H245" s="21" t="s">
        <v>73</v>
      </c>
      <c r="I245" s="21" t="s">
        <v>91</v>
      </c>
      <c r="J245" s="68">
        <f>+MONTH(ExpenseTable[[#This Row],[Voucher Date]])</f>
        <v>3</v>
      </c>
      <c r="K245" s="68" t="s">
        <v>238</v>
      </c>
    </row>
    <row r="246" spans="1:11" x14ac:dyDescent="0.35">
      <c r="A246" s="15">
        <v>45741</v>
      </c>
      <c r="B246" s="11" t="s">
        <v>973</v>
      </c>
      <c r="C246" s="19">
        <v>45722</v>
      </c>
      <c r="D246" s="13" t="s">
        <v>353</v>
      </c>
      <c r="E246" s="12">
        <v>430000</v>
      </c>
      <c r="F246" s="21" t="s">
        <v>5</v>
      </c>
      <c r="G246" s="21" t="s">
        <v>72</v>
      </c>
      <c r="H246" s="21" t="s">
        <v>73</v>
      </c>
      <c r="I246" s="21" t="s">
        <v>91</v>
      </c>
      <c r="J246" s="68">
        <f>+MONTH(ExpenseTable[[#This Row],[Voucher Date]])</f>
        <v>3</v>
      </c>
      <c r="K246" s="68" t="s">
        <v>238</v>
      </c>
    </row>
    <row r="247" spans="1:11" x14ac:dyDescent="0.35">
      <c r="A247" s="15">
        <v>45733</v>
      </c>
      <c r="B247" s="11" t="s">
        <v>973</v>
      </c>
      <c r="C247" s="19">
        <v>45722</v>
      </c>
      <c r="D247" s="13" t="s">
        <v>343</v>
      </c>
      <c r="E247" s="12">
        <v>450000</v>
      </c>
      <c r="F247" s="21" t="s">
        <v>30</v>
      </c>
      <c r="G247" s="21" t="s">
        <v>72</v>
      </c>
      <c r="H247" s="21" t="s">
        <v>73</v>
      </c>
      <c r="I247" s="21" t="s">
        <v>91</v>
      </c>
      <c r="J247" s="68">
        <f>+MONTH(ExpenseTable[[#This Row],[Voucher Date]])</f>
        <v>3</v>
      </c>
      <c r="K247" s="68" t="s">
        <v>238</v>
      </c>
    </row>
    <row r="248" spans="1:11" x14ac:dyDescent="0.35">
      <c r="A248" s="15">
        <v>45727</v>
      </c>
      <c r="B248" s="11" t="s">
        <v>316</v>
      </c>
      <c r="C248" s="19">
        <v>45726</v>
      </c>
      <c r="D248" s="13" t="s">
        <v>320</v>
      </c>
      <c r="E248" s="12">
        <v>400</v>
      </c>
      <c r="F248" s="21" t="s">
        <v>21</v>
      </c>
      <c r="G248" s="21" t="s">
        <v>72</v>
      </c>
      <c r="H248" s="21" t="s">
        <v>73</v>
      </c>
      <c r="I248" s="21" t="s">
        <v>90</v>
      </c>
      <c r="J248" s="68">
        <f>+MONTH(ExpenseTable[[#This Row],[Voucher Date]])</f>
        <v>3</v>
      </c>
      <c r="K248" s="68" t="s">
        <v>238</v>
      </c>
    </row>
    <row r="249" spans="1:11" x14ac:dyDescent="0.35">
      <c r="A249" s="15">
        <v>45728</v>
      </c>
      <c r="B249" s="11" t="s">
        <v>316</v>
      </c>
      <c r="C249" s="19">
        <v>45726</v>
      </c>
      <c r="D249" s="13" t="s">
        <v>204</v>
      </c>
      <c r="E249" s="12">
        <v>2400</v>
      </c>
      <c r="F249" s="21" t="s">
        <v>54</v>
      </c>
      <c r="G249" s="21" t="s">
        <v>66</v>
      </c>
      <c r="H249" s="21" t="s">
        <v>68</v>
      </c>
      <c r="I249" s="21" t="s">
        <v>90</v>
      </c>
      <c r="J249" s="68">
        <f>+MONTH(ExpenseTable[[#This Row],[Voucher Date]])</f>
        <v>3</v>
      </c>
      <c r="K249" s="68" t="s">
        <v>238</v>
      </c>
    </row>
    <row r="250" spans="1:11" x14ac:dyDescent="0.35">
      <c r="A250" s="15">
        <v>45729</v>
      </c>
      <c r="B250" s="11" t="s">
        <v>316</v>
      </c>
      <c r="C250" s="19">
        <v>45726</v>
      </c>
      <c r="D250" s="13" t="s">
        <v>204</v>
      </c>
      <c r="E250" s="12">
        <v>2400</v>
      </c>
      <c r="F250" s="21" t="s">
        <v>54</v>
      </c>
      <c r="G250" s="21" t="s">
        <v>66</v>
      </c>
      <c r="H250" s="21" t="s">
        <v>68</v>
      </c>
      <c r="I250" s="21" t="s">
        <v>90</v>
      </c>
      <c r="J250" s="68">
        <f>+MONTH(ExpenseTable[[#This Row],[Voucher Date]])</f>
        <v>3</v>
      </c>
      <c r="K250" s="68" t="s">
        <v>238</v>
      </c>
    </row>
    <row r="251" spans="1:11" x14ac:dyDescent="0.35">
      <c r="A251" s="15">
        <v>45726</v>
      </c>
      <c r="B251" s="11" t="s">
        <v>316</v>
      </c>
      <c r="C251" s="19">
        <v>45726</v>
      </c>
      <c r="D251" s="13" t="s">
        <v>204</v>
      </c>
      <c r="E251" s="12">
        <v>3600</v>
      </c>
      <c r="F251" s="21" t="s">
        <v>54</v>
      </c>
      <c r="G251" s="21" t="s">
        <v>66</v>
      </c>
      <c r="H251" s="21" t="s">
        <v>68</v>
      </c>
      <c r="I251" s="21" t="s">
        <v>90</v>
      </c>
      <c r="J251" s="68">
        <f>+MONTH(ExpenseTable[[#This Row],[Voucher Date]])</f>
        <v>3</v>
      </c>
      <c r="K251" s="68" t="s">
        <v>238</v>
      </c>
    </row>
    <row r="252" spans="1:11" x14ac:dyDescent="0.35">
      <c r="A252" s="15">
        <v>45726</v>
      </c>
      <c r="B252" s="11" t="s">
        <v>316</v>
      </c>
      <c r="C252" s="19">
        <v>45726</v>
      </c>
      <c r="D252" s="13" t="s">
        <v>219</v>
      </c>
      <c r="E252" s="12">
        <v>4800</v>
      </c>
      <c r="F252" s="21" t="s">
        <v>54</v>
      </c>
      <c r="G252" s="21" t="s">
        <v>72</v>
      </c>
      <c r="H252" s="21" t="s">
        <v>73</v>
      </c>
      <c r="I252" s="21" t="s">
        <v>90</v>
      </c>
      <c r="J252" s="68">
        <f>+MONTH(ExpenseTable[[#This Row],[Voucher Date]])</f>
        <v>3</v>
      </c>
      <c r="K252" s="68" t="s">
        <v>238</v>
      </c>
    </row>
    <row r="253" spans="1:11" x14ac:dyDescent="0.35">
      <c r="A253" s="15">
        <v>45728</v>
      </c>
      <c r="B253" s="11" t="s">
        <v>316</v>
      </c>
      <c r="C253" s="19">
        <v>45726</v>
      </c>
      <c r="D253" s="13" t="s">
        <v>219</v>
      </c>
      <c r="E253" s="12">
        <v>5600</v>
      </c>
      <c r="F253" s="21" t="s">
        <v>54</v>
      </c>
      <c r="G253" s="21" t="s">
        <v>72</v>
      </c>
      <c r="H253" s="21" t="s">
        <v>73</v>
      </c>
      <c r="I253" s="21" t="s">
        <v>90</v>
      </c>
      <c r="J253" s="68">
        <f>+MONTH(ExpenseTable[[#This Row],[Voucher Date]])</f>
        <v>3</v>
      </c>
      <c r="K253" s="68" t="s">
        <v>238</v>
      </c>
    </row>
    <row r="254" spans="1:11" x14ac:dyDescent="0.35">
      <c r="A254" s="15">
        <v>45728</v>
      </c>
      <c r="B254" s="11" t="s">
        <v>316</v>
      </c>
      <c r="C254" s="19">
        <v>45726</v>
      </c>
      <c r="D254" s="13" t="s">
        <v>321</v>
      </c>
      <c r="E254" s="12">
        <v>8000</v>
      </c>
      <c r="F254" s="21" t="s">
        <v>5</v>
      </c>
      <c r="G254" s="21" t="s">
        <v>72</v>
      </c>
      <c r="H254" s="21" t="s">
        <v>73</v>
      </c>
      <c r="I254" s="21" t="s">
        <v>90</v>
      </c>
      <c r="J254" s="68">
        <f>+MONTH(ExpenseTable[[#This Row],[Voucher Date]])</f>
        <v>3</v>
      </c>
      <c r="K254" s="68" t="s">
        <v>238</v>
      </c>
    </row>
    <row r="255" spans="1:11" x14ac:dyDescent="0.35">
      <c r="A255" s="15">
        <v>45728</v>
      </c>
      <c r="B255" s="11" t="s">
        <v>316</v>
      </c>
      <c r="C255" s="19">
        <v>45726</v>
      </c>
      <c r="D255" s="13" t="s">
        <v>323</v>
      </c>
      <c r="E255" s="12">
        <v>71900</v>
      </c>
      <c r="F255" s="21" t="s">
        <v>27</v>
      </c>
      <c r="G255" s="21" t="s">
        <v>72</v>
      </c>
      <c r="H255" s="21" t="s">
        <v>73</v>
      </c>
      <c r="I255" s="21" t="s">
        <v>90</v>
      </c>
      <c r="J255" s="68">
        <f>+MONTH(ExpenseTable[[#This Row],[Voucher Date]])</f>
        <v>3</v>
      </c>
      <c r="K255" s="68" t="s">
        <v>238</v>
      </c>
    </row>
    <row r="256" spans="1:11" x14ac:dyDescent="0.35">
      <c r="A256" s="15">
        <v>45730</v>
      </c>
      <c r="B256" s="11" t="s">
        <v>852</v>
      </c>
      <c r="C256" s="19">
        <v>45726</v>
      </c>
      <c r="D256" s="13" t="s">
        <v>322</v>
      </c>
      <c r="E256" s="12">
        <v>5000</v>
      </c>
      <c r="F256" s="21" t="s">
        <v>22</v>
      </c>
      <c r="G256" s="21" t="s">
        <v>72</v>
      </c>
      <c r="H256" s="21" t="s">
        <v>73</v>
      </c>
      <c r="I256" s="21" t="s">
        <v>1123</v>
      </c>
      <c r="J256" s="68">
        <f>+MONTH(ExpenseTable[[#This Row],[Voucher Date]])</f>
        <v>3</v>
      </c>
      <c r="K256" s="68" t="s">
        <v>238</v>
      </c>
    </row>
    <row r="257" spans="1:11" x14ac:dyDescent="0.35">
      <c r="A257" s="15">
        <v>45727</v>
      </c>
      <c r="B257" s="11" t="s">
        <v>852</v>
      </c>
      <c r="C257" s="19">
        <v>45726</v>
      </c>
      <c r="D257" s="13" t="s">
        <v>317</v>
      </c>
      <c r="E257" s="12">
        <v>15000</v>
      </c>
      <c r="F257" s="21" t="s">
        <v>20</v>
      </c>
      <c r="G257" s="21" t="s">
        <v>72</v>
      </c>
      <c r="H257" s="21" t="s">
        <v>73</v>
      </c>
      <c r="I257" s="21" t="s">
        <v>1123</v>
      </c>
      <c r="J257" s="68">
        <f>+MONTH(ExpenseTable[[#This Row],[Voucher Date]])</f>
        <v>3</v>
      </c>
      <c r="K257" s="68" t="s">
        <v>238</v>
      </c>
    </row>
    <row r="258" spans="1:11" x14ac:dyDescent="0.35">
      <c r="A258" s="15">
        <v>45730</v>
      </c>
      <c r="B258" s="11" t="s">
        <v>852</v>
      </c>
      <c r="C258" s="19">
        <v>45726</v>
      </c>
      <c r="D258" s="13" t="s">
        <v>224</v>
      </c>
      <c r="E258" s="12">
        <v>20000</v>
      </c>
      <c r="F258" s="21" t="s">
        <v>32</v>
      </c>
      <c r="G258" s="21" t="s">
        <v>72</v>
      </c>
      <c r="H258" s="21" t="s">
        <v>73</v>
      </c>
      <c r="I258" s="21" t="s">
        <v>1123</v>
      </c>
      <c r="J258" s="68">
        <f>+MONTH(ExpenseTable[[#This Row],[Voucher Date]])</f>
        <v>3</v>
      </c>
      <c r="K258" s="68" t="s">
        <v>238</v>
      </c>
    </row>
    <row r="259" spans="1:11" x14ac:dyDescent="0.35">
      <c r="A259" s="15">
        <v>45726</v>
      </c>
      <c r="B259" s="11" t="s">
        <v>852</v>
      </c>
      <c r="C259" s="19">
        <v>45726</v>
      </c>
      <c r="D259" s="13" t="s">
        <v>324</v>
      </c>
      <c r="E259" s="12">
        <v>30000</v>
      </c>
      <c r="F259" s="21" t="s">
        <v>41</v>
      </c>
      <c r="G259" s="21" t="s">
        <v>72</v>
      </c>
      <c r="H259" s="21" t="s">
        <v>73</v>
      </c>
      <c r="I259" s="21" t="s">
        <v>1123</v>
      </c>
      <c r="J259" s="68">
        <f>+MONTH(ExpenseTable[[#This Row],[Voucher Date]])</f>
        <v>3</v>
      </c>
      <c r="K259" s="68" t="s">
        <v>238</v>
      </c>
    </row>
    <row r="260" spans="1:11" x14ac:dyDescent="0.35">
      <c r="A260" s="15">
        <v>45730</v>
      </c>
      <c r="B260" s="11" t="s">
        <v>852</v>
      </c>
      <c r="C260" s="19">
        <v>45726</v>
      </c>
      <c r="D260" s="13" t="s">
        <v>325</v>
      </c>
      <c r="E260" s="12">
        <v>30000</v>
      </c>
      <c r="F260" s="21" t="s">
        <v>32</v>
      </c>
      <c r="G260" s="21" t="s">
        <v>72</v>
      </c>
      <c r="H260" s="21" t="s">
        <v>73</v>
      </c>
      <c r="I260" s="21" t="s">
        <v>1123</v>
      </c>
      <c r="J260" s="68">
        <f>+MONTH(ExpenseTable[[#This Row],[Voucher Date]])</f>
        <v>3</v>
      </c>
      <c r="K260" s="68" t="s">
        <v>238</v>
      </c>
    </row>
    <row r="261" spans="1:11" x14ac:dyDescent="0.35">
      <c r="A261" s="15">
        <v>45729</v>
      </c>
      <c r="B261" s="11" t="s">
        <v>852</v>
      </c>
      <c r="C261" s="19">
        <v>45726</v>
      </c>
      <c r="D261" s="13" t="s">
        <v>291</v>
      </c>
      <c r="E261" s="12">
        <v>41000</v>
      </c>
      <c r="F261" s="21" t="s">
        <v>22</v>
      </c>
      <c r="G261" s="21" t="s">
        <v>72</v>
      </c>
      <c r="H261" s="21" t="s">
        <v>73</v>
      </c>
      <c r="I261" s="21" t="s">
        <v>1123</v>
      </c>
      <c r="J261" s="68">
        <f>+MONTH(ExpenseTable[[#This Row],[Voucher Date]])</f>
        <v>3</v>
      </c>
      <c r="K261" s="68" t="s">
        <v>238</v>
      </c>
    </row>
    <row r="262" spans="1:11" x14ac:dyDescent="0.35">
      <c r="A262" s="15">
        <v>45727</v>
      </c>
      <c r="B262" s="11" t="s">
        <v>852</v>
      </c>
      <c r="C262" s="19">
        <v>45726</v>
      </c>
      <c r="D262" s="13" t="s">
        <v>318</v>
      </c>
      <c r="E262" s="12">
        <v>50000</v>
      </c>
      <c r="F262" s="21" t="s">
        <v>20</v>
      </c>
      <c r="G262" s="21" t="s">
        <v>72</v>
      </c>
      <c r="H262" s="21" t="s">
        <v>73</v>
      </c>
      <c r="I262" s="21" t="s">
        <v>1123</v>
      </c>
      <c r="J262" s="68">
        <f>+MONTH(ExpenseTable[[#This Row],[Voucher Date]])</f>
        <v>3</v>
      </c>
      <c r="K262" s="68" t="s">
        <v>238</v>
      </c>
    </row>
    <row r="263" spans="1:11" x14ac:dyDescent="0.35">
      <c r="A263" s="15">
        <v>45728</v>
      </c>
      <c r="B263" s="11" t="s">
        <v>852</v>
      </c>
      <c r="C263" s="19">
        <v>45726</v>
      </c>
      <c r="D263" s="13" t="s">
        <v>319</v>
      </c>
      <c r="E263" s="12">
        <v>2800000</v>
      </c>
      <c r="F263" s="21" t="s">
        <v>86</v>
      </c>
      <c r="G263" s="21" t="s">
        <v>72</v>
      </c>
      <c r="H263" s="21" t="s">
        <v>73</v>
      </c>
      <c r="I263" s="21" t="s">
        <v>1123</v>
      </c>
      <c r="J263" s="68">
        <f>+MONTH(ExpenseTable[[#This Row],[Voucher Date]])</f>
        <v>3</v>
      </c>
      <c r="K263" s="68" t="s">
        <v>238</v>
      </c>
    </row>
    <row r="264" spans="1:11" x14ac:dyDescent="0.35">
      <c r="A264" s="15">
        <v>45732</v>
      </c>
      <c r="B264" s="11" t="s">
        <v>326</v>
      </c>
      <c r="C264" s="19">
        <v>45727</v>
      </c>
      <c r="D264" s="13" t="s">
        <v>327</v>
      </c>
      <c r="E264" s="12">
        <v>250000</v>
      </c>
      <c r="F264" s="21" t="s">
        <v>86</v>
      </c>
      <c r="G264" s="21" t="s">
        <v>72</v>
      </c>
      <c r="H264" s="21" t="s">
        <v>73</v>
      </c>
      <c r="I264" s="21" t="s">
        <v>91</v>
      </c>
      <c r="J264" s="68">
        <f>+MONTH(ExpenseTable[[#This Row],[Voucher Date]])</f>
        <v>3</v>
      </c>
      <c r="K264" s="68" t="s">
        <v>238</v>
      </c>
    </row>
    <row r="265" spans="1:11" x14ac:dyDescent="0.35">
      <c r="A265" s="15">
        <v>45744</v>
      </c>
      <c r="B265" s="11" t="s">
        <v>326</v>
      </c>
      <c r="C265" s="19">
        <v>45727</v>
      </c>
      <c r="D265" s="13" t="s">
        <v>264</v>
      </c>
      <c r="E265" s="12">
        <v>375000</v>
      </c>
      <c r="F265" s="21" t="s">
        <v>38</v>
      </c>
      <c r="G265" s="21" t="s">
        <v>72</v>
      </c>
      <c r="H265" s="21" t="s">
        <v>73</v>
      </c>
      <c r="I265" s="21" t="s">
        <v>91</v>
      </c>
      <c r="J265" s="68">
        <f>+MONTH(ExpenseTable[[#This Row],[Voucher Date]])</f>
        <v>3</v>
      </c>
      <c r="K265" s="68" t="s">
        <v>238</v>
      </c>
    </row>
    <row r="266" spans="1:11" x14ac:dyDescent="0.35">
      <c r="A266" s="15">
        <v>45744</v>
      </c>
      <c r="B266" s="11" t="s">
        <v>326</v>
      </c>
      <c r="C266" s="19">
        <v>45727</v>
      </c>
      <c r="D266" s="13" t="s">
        <v>328</v>
      </c>
      <c r="E266" s="12">
        <v>485000</v>
      </c>
      <c r="F266" s="21" t="s">
        <v>5</v>
      </c>
      <c r="G266" s="21" t="s">
        <v>72</v>
      </c>
      <c r="H266" s="21" t="s">
        <v>73</v>
      </c>
      <c r="I266" s="21" t="s">
        <v>91</v>
      </c>
      <c r="J266" s="68">
        <f>+MONTH(ExpenseTable[[#This Row],[Voucher Date]])</f>
        <v>3</v>
      </c>
      <c r="K266" s="68" t="s">
        <v>238</v>
      </c>
    </row>
    <row r="267" spans="1:11" x14ac:dyDescent="0.35">
      <c r="A267" s="15">
        <v>45727</v>
      </c>
      <c r="B267" s="11" t="s">
        <v>326</v>
      </c>
      <c r="C267" s="19">
        <v>45727</v>
      </c>
      <c r="D267" s="13" t="s">
        <v>327</v>
      </c>
      <c r="E267" s="12">
        <v>500000</v>
      </c>
      <c r="F267" s="21" t="s">
        <v>86</v>
      </c>
      <c r="G267" s="21" t="s">
        <v>72</v>
      </c>
      <c r="H267" s="21" t="s">
        <v>73</v>
      </c>
      <c r="I267" s="21" t="s">
        <v>91</v>
      </c>
      <c r="J267" s="68">
        <f>+MONTH(ExpenseTable[[#This Row],[Voucher Date]])</f>
        <v>3</v>
      </c>
      <c r="K267" s="68" t="s">
        <v>238</v>
      </c>
    </row>
    <row r="268" spans="1:11" x14ac:dyDescent="0.35">
      <c r="A268" s="15">
        <v>45744</v>
      </c>
      <c r="B268" s="11" t="s">
        <v>326</v>
      </c>
      <c r="C268" s="19">
        <v>45727</v>
      </c>
      <c r="D268" s="13" t="s">
        <v>327</v>
      </c>
      <c r="E268" s="12">
        <v>500000</v>
      </c>
      <c r="F268" s="21" t="s">
        <v>86</v>
      </c>
      <c r="G268" s="21" t="s">
        <v>72</v>
      </c>
      <c r="H268" s="21" t="s">
        <v>73</v>
      </c>
      <c r="I268" s="21" t="s">
        <v>91</v>
      </c>
      <c r="J268" s="68">
        <f>+MONTH(ExpenseTable[[#This Row],[Voucher Date]])</f>
        <v>3</v>
      </c>
      <c r="K268" s="68" t="s">
        <v>238</v>
      </c>
    </row>
    <row r="269" spans="1:11" x14ac:dyDescent="0.35">
      <c r="A269" s="15">
        <v>45728</v>
      </c>
      <c r="B269" s="11" t="s">
        <v>326</v>
      </c>
      <c r="C269" s="19">
        <v>45727</v>
      </c>
      <c r="D269" s="13" t="s">
        <v>327</v>
      </c>
      <c r="E269" s="12">
        <v>1000000</v>
      </c>
      <c r="F269" s="21" t="s">
        <v>86</v>
      </c>
      <c r="G269" s="21" t="s">
        <v>72</v>
      </c>
      <c r="H269" s="21" t="s">
        <v>73</v>
      </c>
      <c r="I269" s="21" t="s">
        <v>91</v>
      </c>
      <c r="J269" s="68">
        <f>+MONTH(ExpenseTable[[#This Row],[Voucher Date]])</f>
        <v>3</v>
      </c>
      <c r="K269" s="68" t="s">
        <v>238</v>
      </c>
    </row>
    <row r="270" spans="1:11" x14ac:dyDescent="0.35">
      <c r="A270" s="15">
        <v>45744</v>
      </c>
      <c r="B270" s="11" t="s">
        <v>326</v>
      </c>
      <c r="C270" s="19">
        <v>45727</v>
      </c>
      <c r="D270" s="13" t="s">
        <v>327</v>
      </c>
      <c r="E270" s="12">
        <v>1500000</v>
      </c>
      <c r="F270" s="21" t="s">
        <v>86</v>
      </c>
      <c r="G270" s="21" t="s">
        <v>72</v>
      </c>
      <c r="H270" s="21" t="s">
        <v>73</v>
      </c>
      <c r="I270" s="21" t="s">
        <v>91</v>
      </c>
      <c r="J270" s="68">
        <f>+MONTH(ExpenseTable[[#This Row],[Voucher Date]])</f>
        <v>3</v>
      </c>
      <c r="K270" s="68" t="s">
        <v>238</v>
      </c>
    </row>
    <row r="271" spans="1:11" x14ac:dyDescent="0.35">
      <c r="A271" s="15">
        <v>45744</v>
      </c>
      <c r="B271" s="11" t="s">
        <v>853</v>
      </c>
      <c r="C271" s="19">
        <v>45727</v>
      </c>
      <c r="D271" s="13" t="s">
        <v>329</v>
      </c>
      <c r="E271" s="12">
        <v>400000</v>
      </c>
      <c r="F271" s="21" t="s">
        <v>5</v>
      </c>
      <c r="G271" s="21" t="s">
        <v>72</v>
      </c>
      <c r="H271" s="21" t="s">
        <v>73</v>
      </c>
      <c r="I271" s="21" t="s">
        <v>91</v>
      </c>
      <c r="J271" s="68">
        <f>+MONTH(ExpenseTable[[#This Row],[Voucher Date]])</f>
        <v>3</v>
      </c>
      <c r="K271" s="68" t="s">
        <v>238</v>
      </c>
    </row>
    <row r="272" spans="1:11" x14ac:dyDescent="0.35">
      <c r="A272" s="15">
        <v>45733</v>
      </c>
      <c r="B272" s="11" t="s">
        <v>331</v>
      </c>
      <c r="C272" s="19">
        <v>45729</v>
      </c>
      <c r="D272" s="13" t="s">
        <v>204</v>
      </c>
      <c r="E272" s="12">
        <v>2400</v>
      </c>
      <c r="F272" s="21" t="s">
        <v>54</v>
      </c>
      <c r="G272" s="21" t="s">
        <v>66</v>
      </c>
      <c r="H272" s="21" t="s">
        <v>68</v>
      </c>
      <c r="I272" s="21" t="s">
        <v>90</v>
      </c>
      <c r="J272" s="68">
        <f>+MONTH(ExpenseTable[[#This Row],[Voucher Date]])</f>
        <v>3</v>
      </c>
      <c r="K272" s="13" t="s">
        <v>238</v>
      </c>
    </row>
    <row r="273" spans="1:11" x14ac:dyDescent="0.35">
      <c r="A273" s="15">
        <v>45734</v>
      </c>
      <c r="B273" s="11" t="s">
        <v>331</v>
      </c>
      <c r="C273" s="19">
        <v>45729</v>
      </c>
      <c r="D273" s="13" t="s">
        <v>204</v>
      </c>
      <c r="E273" s="12">
        <v>2400</v>
      </c>
      <c r="F273" s="21" t="s">
        <v>54</v>
      </c>
      <c r="G273" s="21" t="s">
        <v>66</v>
      </c>
      <c r="H273" s="21" t="s">
        <v>68</v>
      </c>
      <c r="I273" s="21" t="s">
        <v>90</v>
      </c>
      <c r="J273" s="68">
        <f>+MONTH(ExpenseTable[[#This Row],[Voucher Date]])</f>
        <v>3</v>
      </c>
      <c r="K273" s="13" t="s">
        <v>238</v>
      </c>
    </row>
    <row r="274" spans="1:11" x14ac:dyDescent="0.35">
      <c r="A274" s="15">
        <v>45729</v>
      </c>
      <c r="B274" s="11" t="s">
        <v>331</v>
      </c>
      <c r="C274" s="19">
        <v>45729</v>
      </c>
      <c r="D274" s="13" t="s">
        <v>332</v>
      </c>
      <c r="E274" s="12">
        <v>2670</v>
      </c>
      <c r="F274" s="21" t="s">
        <v>27</v>
      </c>
      <c r="G274" s="21" t="s">
        <v>72</v>
      </c>
      <c r="H274" s="21" t="s">
        <v>73</v>
      </c>
      <c r="I274" s="21" t="s">
        <v>90</v>
      </c>
      <c r="J274" s="68">
        <f>+MONTH(ExpenseTable[[#This Row],[Voucher Date]])</f>
        <v>3</v>
      </c>
      <c r="K274" s="13" t="s">
        <v>238</v>
      </c>
    </row>
    <row r="275" spans="1:11" x14ac:dyDescent="0.35">
      <c r="A275" s="15">
        <v>45733</v>
      </c>
      <c r="B275" s="11" t="s">
        <v>331</v>
      </c>
      <c r="C275" s="19">
        <v>45729</v>
      </c>
      <c r="D275" s="13" t="s">
        <v>972</v>
      </c>
      <c r="E275" s="12">
        <v>4800</v>
      </c>
      <c r="F275" s="21" t="s">
        <v>54</v>
      </c>
      <c r="G275" s="21" t="s">
        <v>66</v>
      </c>
      <c r="H275" s="21" t="s">
        <v>68</v>
      </c>
      <c r="I275" s="21" t="s">
        <v>90</v>
      </c>
      <c r="J275" s="68">
        <f>+MONTH(ExpenseTable[[#This Row],[Voucher Date]])</f>
        <v>3</v>
      </c>
      <c r="K275" s="13" t="s">
        <v>238</v>
      </c>
    </row>
    <row r="276" spans="1:11" x14ac:dyDescent="0.35">
      <c r="A276" s="15">
        <v>45729</v>
      </c>
      <c r="B276" s="11" t="s">
        <v>331</v>
      </c>
      <c r="C276" s="19">
        <v>45729</v>
      </c>
      <c r="D276" s="13" t="s">
        <v>133</v>
      </c>
      <c r="E276" s="12">
        <v>20000</v>
      </c>
      <c r="F276" s="21" t="s">
        <v>32</v>
      </c>
      <c r="G276" s="21" t="s">
        <v>72</v>
      </c>
      <c r="H276" s="21" t="s">
        <v>73</v>
      </c>
      <c r="I276" s="21" t="s">
        <v>90</v>
      </c>
      <c r="J276" s="68">
        <f>+MONTH(ExpenseTable[[#This Row],[Voucher Date]])</f>
        <v>3</v>
      </c>
      <c r="K276" s="13" t="s">
        <v>238</v>
      </c>
    </row>
    <row r="277" spans="1:11" x14ac:dyDescent="0.35">
      <c r="A277" s="15">
        <v>45730</v>
      </c>
      <c r="B277" s="11" t="s">
        <v>331</v>
      </c>
      <c r="C277" s="19">
        <v>45729</v>
      </c>
      <c r="D277" s="13" t="s">
        <v>224</v>
      </c>
      <c r="E277" s="12">
        <v>20000</v>
      </c>
      <c r="F277" s="21" t="s">
        <v>32</v>
      </c>
      <c r="G277" s="21" t="s">
        <v>72</v>
      </c>
      <c r="H277" s="21" t="s">
        <v>73</v>
      </c>
      <c r="I277" s="21" t="s">
        <v>90</v>
      </c>
      <c r="J277" s="68">
        <f>+MONTH(ExpenseTable[[#This Row],[Voucher Date]])</f>
        <v>3</v>
      </c>
      <c r="K277" s="13" t="s">
        <v>238</v>
      </c>
    </row>
    <row r="278" spans="1:11" x14ac:dyDescent="0.35">
      <c r="A278" s="15">
        <v>45734</v>
      </c>
      <c r="B278" s="11" t="s">
        <v>331</v>
      </c>
      <c r="C278" s="19">
        <v>45729</v>
      </c>
      <c r="D278" s="13" t="s">
        <v>224</v>
      </c>
      <c r="E278" s="12">
        <v>20000</v>
      </c>
      <c r="F278" s="21" t="s">
        <v>32</v>
      </c>
      <c r="G278" s="21" t="s">
        <v>72</v>
      </c>
      <c r="H278" s="21" t="s">
        <v>73</v>
      </c>
      <c r="I278" s="21" t="s">
        <v>90</v>
      </c>
      <c r="J278" s="68">
        <f>+MONTH(ExpenseTable[[#This Row],[Voucher Date]])</f>
        <v>3</v>
      </c>
      <c r="K278" s="13" t="s">
        <v>238</v>
      </c>
    </row>
    <row r="279" spans="1:11" x14ac:dyDescent="0.35">
      <c r="A279" s="15">
        <v>45734</v>
      </c>
      <c r="B279" s="11" t="s">
        <v>331</v>
      </c>
      <c r="C279" s="19">
        <v>45729</v>
      </c>
      <c r="D279" s="13" t="s">
        <v>288</v>
      </c>
      <c r="E279" s="12">
        <v>25000</v>
      </c>
      <c r="F279" s="21" t="s">
        <v>40</v>
      </c>
      <c r="G279" s="21" t="s">
        <v>72</v>
      </c>
      <c r="H279" s="21" t="s">
        <v>73</v>
      </c>
      <c r="I279" s="21" t="s">
        <v>90</v>
      </c>
      <c r="J279" s="68">
        <f>+MONTH(ExpenseTable[[#This Row],[Voucher Date]])</f>
        <v>3</v>
      </c>
      <c r="K279" s="13" t="s">
        <v>238</v>
      </c>
    </row>
    <row r="280" spans="1:11" x14ac:dyDescent="0.35">
      <c r="A280" s="15">
        <v>45732</v>
      </c>
      <c r="B280" s="11" t="s">
        <v>340</v>
      </c>
      <c r="C280" s="19">
        <v>45730</v>
      </c>
      <c r="D280" s="13" t="s">
        <v>335</v>
      </c>
      <c r="E280" s="12">
        <v>4500</v>
      </c>
      <c r="F280" s="21" t="s">
        <v>22</v>
      </c>
      <c r="G280" s="21" t="s">
        <v>72</v>
      </c>
      <c r="H280" s="21" t="s">
        <v>73</v>
      </c>
      <c r="I280" s="21" t="s">
        <v>1123</v>
      </c>
      <c r="J280" s="68">
        <f>+MONTH(ExpenseTable[[#This Row],[Voucher Date]])</f>
        <v>3</v>
      </c>
      <c r="K280" s="68" t="s">
        <v>238</v>
      </c>
    </row>
    <row r="281" spans="1:11" x14ac:dyDescent="0.35">
      <c r="A281" s="15">
        <v>45736</v>
      </c>
      <c r="B281" s="11" t="s">
        <v>340</v>
      </c>
      <c r="C281" s="19">
        <v>45730</v>
      </c>
      <c r="D281" s="13" t="s">
        <v>338</v>
      </c>
      <c r="E281" s="12">
        <v>5000</v>
      </c>
      <c r="F281" s="21" t="s">
        <v>22</v>
      </c>
      <c r="G281" s="21" t="s">
        <v>72</v>
      </c>
      <c r="H281" s="21" t="s">
        <v>73</v>
      </c>
      <c r="I281" s="21" t="s">
        <v>1123</v>
      </c>
      <c r="J281" s="68">
        <f>+MONTH(ExpenseTable[[#This Row],[Voucher Date]])</f>
        <v>3</v>
      </c>
      <c r="K281" s="68" t="s">
        <v>238</v>
      </c>
    </row>
    <row r="282" spans="1:11" x14ac:dyDescent="0.35">
      <c r="A282" s="15">
        <v>45731</v>
      </c>
      <c r="B282" s="11" t="s">
        <v>340</v>
      </c>
      <c r="C282" s="19">
        <v>45730</v>
      </c>
      <c r="D282" s="13" t="s">
        <v>334</v>
      </c>
      <c r="E282" s="12">
        <v>23000</v>
      </c>
      <c r="F282" s="21" t="s">
        <v>22</v>
      </c>
      <c r="G282" s="21" t="s">
        <v>72</v>
      </c>
      <c r="H282" s="21" t="s">
        <v>73</v>
      </c>
      <c r="I282" s="21" t="s">
        <v>1123</v>
      </c>
      <c r="J282" s="68">
        <f>+MONTH(ExpenseTable[[#This Row],[Voucher Date]])</f>
        <v>3</v>
      </c>
      <c r="K282" s="68" t="s">
        <v>238</v>
      </c>
    </row>
    <row r="283" spans="1:11" x14ac:dyDescent="0.35">
      <c r="A283" s="15">
        <v>45731</v>
      </c>
      <c r="B283" s="11" t="s">
        <v>340</v>
      </c>
      <c r="C283" s="19">
        <v>45730</v>
      </c>
      <c r="D283" s="13" t="s">
        <v>204</v>
      </c>
      <c r="E283" s="12">
        <v>23000</v>
      </c>
      <c r="F283" s="21" t="s">
        <v>54</v>
      </c>
      <c r="G283" s="21" t="s">
        <v>66</v>
      </c>
      <c r="H283" s="21" t="s">
        <v>68</v>
      </c>
      <c r="I283" s="21" t="s">
        <v>1123</v>
      </c>
      <c r="J283" s="68">
        <f>+MONTH(ExpenseTable[[#This Row],[Voucher Date]])</f>
        <v>3</v>
      </c>
      <c r="K283" s="68" t="s">
        <v>238</v>
      </c>
    </row>
    <row r="284" spans="1:11" x14ac:dyDescent="0.35">
      <c r="A284" s="15">
        <v>45730</v>
      </c>
      <c r="B284" s="11" t="s">
        <v>340</v>
      </c>
      <c r="C284" s="19">
        <v>45730</v>
      </c>
      <c r="D284" s="13" t="s">
        <v>333</v>
      </c>
      <c r="E284" s="12">
        <v>60000</v>
      </c>
      <c r="F284" s="21" t="s">
        <v>22</v>
      </c>
      <c r="G284" s="21" t="s">
        <v>72</v>
      </c>
      <c r="H284" s="21" t="s">
        <v>73</v>
      </c>
      <c r="I284" s="21" t="s">
        <v>1123</v>
      </c>
      <c r="J284" s="68">
        <f>+MONTH(ExpenseTable[[#This Row],[Voucher Date]])</f>
        <v>3</v>
      </c>
      <c r="K284" s="68" t="s">
        <v>238</v>
      </c>
    </row>
    <row r="285" spans="1:11" x14ac:dyDescent="0.35">
      <c r="A285" s="15">
        <v>45731</v>
      </c>
      <c r="B285" s="11" t="s">
        <v>340</v>
      </c>
      <c r="C285" s="19">
        <v>45730</v>
      </c>
      <c r="D285" s="13" t="s">
        <v>339</v>
      </c>
      <c r="E285" s="12">
        <v>60000</v>
      </c>
      <c r="F285" s="21" t="s">
        <v>40</v>
      </c>
      <c r="G285" s="21" t="s">
        <v>72</v>
      </c>
      <c r="H285" s="21" t="s">
        <v>73</v>
      </c>
      <c r="I285" s="21" t="s">
        <v>1123</v>
      </c>
      <c r="J285" s="68">
        <f>+MONTH(ExpenseTable[[#This Row],[Voucher Date]])</f>
        <v>3</v>
      </c>
      <c r="K285" s="68" t="s">
        <v>238</v>
      </c>
    </row>
    <row r="286" spans="1:11" x14ac:dyDescent="0.35">
      <c r="A286" s="15">
        <v>45735</v>
      </c>
      <c r="B286" s="11" t="s">
        <v>340</v>
      </c>
      <c r="C286" s="19">
        <v>45730</v>
      </c>
      <c r="D286" s="13" t="s">
        <v>337</v>
      </c>
      <c r="E286" s="12">
        <v>123000</v>
      </c>
      <c r="F286" s="21" t="s">
        <v>22</v>
      </c>
      <c r="G286" s="21" t="s">
        <v>72</v>
      </c>
      <c r="H286" s="21" t="s">
        <v>73</v>
      </c>
      <c r="I286" s="21" t="s">
        <v>1123</v>
      </c>
      <c r="J286" s="68">
        <f>+MONTH(ExpenseTable[[#This Row],[Voucher Date]])</f>
        <v>3</v>
      </c>
      <c r="K286" s="68" t="s">
        <v>238</v>
      </c>
    </row>
    <row r="287" spans="1:11" x14ac:dyDescent="0.35">
      <c r="A287" s="15">
        <v>45735</v>
      </c>
      <c r="B287" s="11" t="s">
        <v>340</v>
      </c>
      <c r="C287" s="19">
        <v>45730</v>
      </c>
      <c r="D287" s="13" t="s">
        <v>336</v>
      </c>
      <c r="E287" s="12">
        <v>130000</v>
      </c>
      <c r="F287" s="21" t="s">
        <v>22</v>
      </c>
      <c r="G287" s="21" t="s">
        <v>72</v>
      </c>
      <c r="H287" s="21" t="s">
        <v>73</v>
      </c>
      <c r="I287" s="21" t="s">
        <v>1123</v>
      </c>
      <c r="J287" s="68">
        <f>+MONTH(ExpenseTable[[#This Row],[Voucher Date]])</f>
        <v>3</v>
      </c>
      <c r="K287" s="68" t="s">
        <v>238</v>
      </c>
    </row>
    <row r="288" spans="1:11" x14ac:dyDescent="0.35">
      <c r="A288" s="15">
        <v>45733</v>
      </c>
      <c r="B288" s="11" t="s">
        <v>342</v>
      </c>
      <c r="C288" s="19">
        <v>45733</v>
      </c>
      <c r="D288" s="13" t="s">
        <v>204</v>
      </c>
      <c r="E288" s="12">
        <v>2400</v>
      </c>
      <c r="F288" s="21" t="s">
        <v>54</v>
      </c>
      <c r="G288" s="21" t="s">
        <v>66</v>
      </c>
      <c r="H288" s="21" t="s">
        <v>68</v>
      </c>
      <c r="I288" s="21" t="s">
        <v>90</v>
      </c>
      <c r="J288" s="68">
        <f>+MONTH(ExpenseTable[[#This Row],[Voucher Date]])</f>
        <v>3</v>
      </c>
      <c r="K288" s="68" t="s">
        <v>238</v>
      </c>
    </row>
    <row r="289" spans="1:11" x14ac:dyDescent="0.35">
      <c r="A289" s="15">
        <v>45733</v>
      </c>
      <c r="B289" s="11" t="s">
        <v>342</v>
      </c>
      <c r="C289" s="19">
        <v>45733</v>
      </c>
      <c r="D289" s="13" t="s">
        <v>219</v>
      </c>
      <c r="E289" s="12">
        <v>4800</v>
      </c>
      <c r="F289" s="21" t="s">
        <v>54</v>
      </c>
      <c r="G289" s="21" t="s">
        <v>67</v>
      </c>
      <c r="H289" s="21" t="s">
        <v>79</v>
      </c>
      <c r="I289" s="21" t="s">
        <v>90</v>
      </c>
      <c r="J289" s="68">
        <f>+MONTH(ExpenseTable[[#This Row],[Voucher Date]])</f>
        <v>3</v>
      </c>
      <c r="K289" s="68" t="s">
        <v>238</v>
      </c>
    </row>
    <row r="290" spans="1:11" x14ac:dyDescent="0.35">
      <c r="A290" s="15">
        <v>45734</v>
      </c>
      <c r="B290" s="11" t="s">
        <v>344</v>
      </c>
      <c r="C290" s="19">
        <v>45734</v>
      </c>
      <c r="D290" s="13" t="s">
        <v>348</v>
      </c>
      <c r="E290" s="12">
        <v>400</v>
      </c>
      <c r="F290" s="21" t="s">
        <v>21</v>
      </c>
      <c r="G290" s="21" t="s">
        <v>72</v>
      </c>
      <c r="H290" s="21" t="s">
        <v>73</v>
      </c>
      <c r="I290" s="21" t="s">
        <v>90</v>
      </c>
      <c r="J290" s="68">
        <f>+MONTH(ExpenseTable[[#This Row],[Voucher Date]])</f>
        <v>3</v>
      </c>
      <c r="K290" s="68" t="s">
        <v>238</v>
      </c>
    </row>
    <row r="291" spans="1:11" x14ac:dyDescent="0.35">
      <c r="A291" s="15">
        <v>45734</v>
      </c>
      <c r="B291" s="11" t="s">
        <v>344</v>
      </c>
      <c r="C291" s="19">
        <v>45734</v>
      </c>
      <c r="D291" s="13" t="s">
        <v>347</v>
      </c>
      <c r="E291" s="12">
        <v>1000</v>
      </c>
      <c r="F291" s="21" t="s">
        <v>21</v>
      </c>
      <c r="G291" s="21" t="s">
        <v>72</v>
      </c>
      <c r="H291" s="21" t="s">
        <v>73</v>
      </c>
      <c r="I291" s="21" t="s">
        <v>90</v>
      </c>
      <c r="J291" s="68">
        <f>+MONTH(ExpenseTable[[#This Row],[Voucher Date]])</f>
        <v>3</v>
      </c>
      <c r="K291" s="68" t="s">
        <v>238</v>
      </c>
    </row>
    <row r="292" spans="1:11" x14ac:dyDescent="0.35">
      <c r="A292" s="15">
        <v>45736</v>
      </c>
      <c r="B292" s="11" t="s">
        <v>344</v>
      </c>
      <c r="C292" s="19">
        <v>45734</v>
      </c>
      <c r="D292" s="13" t="s">
        <v>218</v>
      </c>
      <c r="E292" s="12">
        <v>1700</v>
      </c>
      <c r="F292" s="21" t="s">
        <v>54</v>
      </c>
      <c r="G292" s="21" t="s">
        <v>66</v>
      </c>
      <c r="H292" s="21" t="s">
        <v>68</v>
      </c>
      <c r="I292" s="21" t="s">
        <v>90</v>
      </c>
      <c r="J292" s="68">
        <f>+MONTH(ExpenseTable[[#This Row],[Voucher Date]])</f>
        <v>3</v>
      </c>
      <c r="K292" s="68" t="s">
        <v>238</v>
      </c>
    </row>
    <row r="293" spans="1:11" x14ac:dyDescent="0.35">
      <c r="A293" s="15">
        <v>45735</v>
      </c>
      <c r="B293" s="11" t="s">
        <v>344</v>
      </c>
      <c r="C293" s="19">
        <v>45734</v>
      </c>
      <c r="D293" s="13" t="s">
        <v>204</v>
      </c>
      <c r="E293" s="12">
        <v>2400</v>
      </c>
      <c r="F293" s="21" t="s">
        <v>54</v>
      </c>
      <c r="G293" s="21" t="s">
        <v>66</v>
      </c>
      <c r="H293" s="21" t="s">
        <v>68</v>
      </c>
      <c r="I293" s="21" t="s">
        <v>90</v>
      </c>
      <c r="J293" s="68">
        <f>+MONTH(ExpenseTable[[#This Row],[Voucher Date]])</f>
        <v>3</v>
      </c>
      <c r="K293" s="68" t="s">
        <v>238</v>
      </c>
    </row>
    <row r="294" spans="1:11" x14ac:dyDescent="0.35">
      <c r="A294" s="15">
        <v>45737</v>
      </c>
      <c r="B294" s="11" t="s">
        <v>344</v>
      </c>
      <c r="C294" s="19">
        <v>45734</v>
      </c>
      <c r="D294" s="13" t="s">
        <v>218</v>
      </c>
      <c r="E294" s="12">
        <v>3600</v>
      </c>
      <c r="F294" s="21" t="s">
        <v>54</v>
      </c>
      <c r="G294" s="21" t="s">
        <v>66</v>
      </c>
      <c r="H294" s="21" t="s">
        <v>68</v>
      </c>
      <c r="I294" s="21" t="s">
        <v>90</v>
      </c>
      <c r="J294" s="68">
        <f>+MONTH(ExpenseTable[[#This Row],[Voucher Date]])</f>
        <v>3</v>
      </c>
      <c r="K294" s="68" t="s">
        <v>238</v>
      </c>
    </row>
    <row r="295" spans="1:11" x14ac:dyDescent="0.35">
      <c r="A295" s="15">
        <v>45737</v>
      </c>
      <c r="B295" s="11" t="s">
        <v>344</v>
      </c>
      <c r="C295" s="19">
        <v>45734</v>
      </c>
      <c r="D295" s="13" t="s">
        <v>133</v>
      </c>
      <c r="E295" s="12">
        <v>20000</v>
      </c>
      <c r="F295" s="21" t="s">
        <v>32</v>
      </c>
      <c r="G295" s="21" t="s">
        <v>72</v>
      </c>
      <c r="H295" s="21" t="s">
        <v>73</v>
      </c>
      <c r="I295" s="21" t="s">
        <v>90</v>
      </c>
      <c r="J295" s="68">
        <f>+MONTH(ExpenseTable[[#This Row],[Voucher Date]])</f>
        <v>3</v>
      </c>
      <c r="K295" s="68" t="s">
        <v>238</v>
      </c>
    </row>
    <row r="296" spans="1:11" x14ac:dyDescent="0.35">
      <c r="A296" s="15">
        <v>45741</v>
      </c>
      <c r="B296" s="11" t="s">
        <v>970</v>
      </c>
      <c r="C296" s="19">
        <v>45737</v>
      </c>
      <c r="D296" s="13" t="s">
        <v>311</v>
      </c>
      <c r="E296" s="12">
        <v>20000</v>
      </c>
      <c r="F296" s="21" t="s">
        <v>5</v>
      </c>
      <c r="G296" s="21" t="s">
        <v>72</v>
      </c>
      <c r="H296" s="21" t="s">
        <v>73</v>
      </c>
      <c r="I296" s="21" t="s">
        <v>1123</v>
      </c>
      <c r="J296" s="68">
        <f>+MONTH(ExpenseTable[[#This Row],[Voucher Date]])</f>
        <v>3</v>
      </c>
      <c r="K296" s="68" t="s">
        <v>238</v>
      </c>
    </row>
    <row r="297" spans="1:11" x14ac:dyDescent="0.35">
      <c r="A297" s="15">
        <v>45741</v>
      </c>
      <c r="B297" s="11" t="s">
        <v>970</v>
      </c>
      <c r="C297" s="19">
        <v>45737</v>
      </c>
      <c r="D297" s="13" t="s">
        <v>310</v>
      </c>
      <c r="E297" s="12">
        <v>20000</v>
      </c>
      <c r="F297" s="21" t="s">
        <v>21</v>
      </c>
      <c r="G297" s="21" t="s">
        <v>80</v>
      </c>
      <c r="H297" s="21" t="s">
        <v>81</v>
      </c>
      <c r="I297" s="21" t="s">
        <v>1123</v>
      </c>
      <c r="J297" s="68">
        <f>+MONTH(ExpenseTable[[#This Row],[Voucher Date]])</f>
        <v>3</v>
      </c>
      <c r="K297" s="68" t="s">
        <v>238</v>
      </c>
    </row>
    <row r="298" spans="1:11" x14ac:dyDescent="0.35">
      <c r="A298" s="15">
        <v>45741</v>
      </c>
      <c r="B298" s="11" t="s">
        <v>970</v>
      </c>
      <c r="C298" s="19">
        <v>45737</v>
      </c>
      <c r="D298" s="13" t="s">
        <v>309</v>
      </c>
      <c r="E298" s="12">
        <v>142100</v>
      </c>
      <c r="F298" s="21" t="s">
        <v>50</v>
      </c>
      <c r="G298" s="21" t="s">
        <v>72</v>
      </c>
      <c r="H298" s="21" t="s">
        <v>73</v>
      </c>
      <c r="I298" s="21" t="s">
        <v>1123</v>
      </c>
      <c r="J298" s="68">
        <f>+MONTH(ExpenseTable[[#This Row],[Voucher Date]])</f>
        <v>3</v>
      </c>
      <c r="K298" s="68" t="s">
        <v>238</v>
      </c>
    </row>
    <row r="299" spans="1:11" x14ac:dyDescent="0.35">
      <c r="A299" s="15">
        <v>45737</v>
      </c>
      <c r="B299" s="11" t="s">
        <v>970</v>
      </c>
      <c r="C299" s="19">
        <v>45737</v>
      </c>
      <c r="D299" s="13" t="s">
        <v>313</v>
      </c>
      <c r="E299" s="12">
        <v>180000</v>
      </c>
      <c r="F299" s="21" t="s">
        <v>22</v>
      </c>
      <c r="G299" s="21" t="s">
        <v>72</v>
      </c>
      <c r="H299" s="21" t="s">
        <v>73</v>
      </c>
      <c r="I299" s="21" t="s">
        <v>1123</v>
      </c>
      <c r="J299" s="68">
        <f>+MONTH(ExpenseTable[[#This Row],[Voucher Date]])</f>
        <v>3</v>
      </c>
      <c r="K299" s="68" t="s">
        <v>238</v>
      </c>
    </row>
    <row r="300" spans="1:11" x14ac:dyDescent="0.35">
      <c r="A300" s="15">
        <v>45740</v>
      </c>
      <c r="B300" s="11" t="s">
        <v>349</v>
      </c>
      <c r="C300" s="19">
        <v>45740</v>
      </c>
      <c r="D300" s="13" t="s">
        <v>351</v>
      </c>
      <c r="E300" s="12">
        <v>133680.03</v>
      </c>
      <c r="F300" s="21" t="s">
        <v>56</v>
      </c>
      <c r="G300" s="21" t="s">
        <v>72</v>
      </c>
      <c r="H300" s="21" t="s">
        <v>73</v>
      </c>
      <c r="I300" s="21" t="s">
        <v>91</v>
      </c>
      <c r="J300" s="68">
        <f>+MONTH(ExpenseTable[[#This Row],[Voucher Date]])</f>
        <v>3</v>
      </c>
      <c r="K300" s="68" t="s">
        <v>238</v>
      </c>
    </row>
    <row r="301" spans="1:11" x14ac:dyDescent="0.35">
      <c r="A301" s="15">
        <v>45741</v>
      </c>
      <c r="B301" s="11" t="s">
        <v>349</v>
      </c>
      <c r="C301" s="19">
        <v>45740</v>
      </c>
      <c r="D301" s="13" t="s">
        <v>350</v>
      </c>
      <c r="E301" s="12">
        <v>165250</v>
      </c>
      <c r="F301" s="21" t="s">
        <v>34</v>
      </c>
      <c r="G301" s="21" t="s">
        <v>72</v>
      </c>
      <c r="H301" s="21" t="s">
        <v>73</v>
      </c>
      <c r="I301" s="21" t="s">
        <v>91</v>
      </c>
      <c r="J301" s="68">
        <f>+MONTH(ExpenseTable[[#This Row],[Voucher Date]])</f>
        <v>3</v>
      </c>
      <c r="K301" s="68" t="s">
        <v>238</v>
      </c>
    </row>
    <row r="302" spans="1:11" x14ac:dyDescent="0.35">
      <c r="A302" s="15">
        <v>45741</v>
      </c>
      <c r="B302" s="11" t="s">
        <v>352</v>
      </c>
      <c r="C302" s="19">
        <v>45741</v>
      </c>
      <c r="D302" s="13" t="s">
        <v>133</v>
      </c>
      <c r="E302" s="12">
        <v>20000</v>
      </c>
      <c r="F302" s="21" t="s">
        <v>32</v>
      </c>
      <c r="G302" s="21" t="s">
        <v>72</v>
      </c>
      <c r="H302" s="21" t="s">
        <v>73</v>
      </c>
      <c r="I302" s="21" t="s">
        <v>90</v>
      </c>
      <c r="J302" s="68">
        <f>+MONTH(ExpenseTable[[#This Row],[Voucher Date]])</f>
        <v>3</v>
      </c>
      <c r="K302" s="68" t="s">
        <v>238</v>
      </c>
    </row>
    <row r="303" spans="1:11" x14ac:dyDescent="0.35">
      <c r="A303" s="15">
        <v>45743</v>
      </c>
      <c r="B303" s="11" t="s">
        <v>352</v>
      </c>
      <c r="C303" s="19">
        <v>45741</v>
      </c>
      <c r="D303" s="13" t="s">
        <v>133</v>
      </c>
      <c r="E303" s="12">
        <v>25800</v>
      </c>
      <c r="F303" s="21" t="s">
        <v>32</v>
      </c>
      <c r="G303" s="21" t="s">
        <v>72</v>
      </c>
      <c r="H303" s="21" t="s">
        <v>73</v>
      </c>
      <c r="I303" s="21" t="s">
        <v>90</v>
      </c>
      <c r="J303" s="68">
        <f>+MONTH(ExpenseTable[[#This Row],[Voucher Date]])</f>
        <v>3</v>
      </c>
      <c r="K303" s="68" t="s">
        <v>238</v>
      </c>
    </row>
    <row r="304" spans="1:11" x14ac:dyDescent="0.35">
      <c r="A304" s="15">
        <v>45742</v>
      </c>
      <c r="B304" s="11" t="s">
        <v>352</v>
      </c>
      <c r="C304" s="19">
        <v>45741</v>
      </c>
      <c r="D304" s="13" t="s">
        <v>178</v>
      </c>
      <c r="E304" s="12">
        <v>50000</v>
      </c>
      <c r="F304" s="21" t="s">
        <v>40</v>
      </c>
      <c r="G304" s="21" t="s">
        <v>72</v>
      </c>
      <c r="H304" s="21" t="s">
        <v>73</v>
      </c>
      <c r="I304" s="21" t="s">
        <v>90</v>
      </c>
      <c r="J304" s="68">
        <f>+MONTH(ExpenseTable[[#This Row],[Voucher Date]])</f>
        <v>3</v>
      </c>
      <c r="K304" s="68" t="s">
        <v>238</v>
      </c>
    </row>
    <row r="305" spans="1:11" x14ac:dyDescent="0.35">
      <c r="A305" s="15">
        <v>45744</v>
      </c>
      <c r="B305" s="11" t="s">
        <v>854</v>
      </c>
      <c r="C305" s="19">
        <v>45741</v>
      </c>
      <c r="D305" s="13" t="s">
        <v>357</v>
      </c>
      <c r="E305" s="12">
        <v>11000</v>
      </c>
      <c r="F305" s="21" t="s">
        <v>22</v>
      </c>
      <c r="G305" s="21" t="s">
        <v>72</v>
      </c>
      <c r="H305" s="21" t="s">
        <v>73</v>
      </c>
      <c r="I305" s="21" t="s">
        <v>1123</v>
      </c>
      <c r="J305" s="68">
        <f>+MONTH(ExpenseTable[[#This Row],[Voucher Date]])</f>
        <v>3</v>
      </c>
      <c r="K305" s="68" t="s">
        <v>238</v>
      </c>
    </row>
    <row r="306" spans="1:11" x14ac:dyDescent="0.35">
      <c r="A306" s="15">
        <v>45744</v>
      </c>
      <c r="B306" s="11" t="s">
        <v>854</v>
      </c>
      <c r="C306" s="19">
        <v>45741</v>
      </c>
      <c r="D306" s="13" t="s">
        <v>358</v>
      </c>
      <c r="E306" s="12">
        <v>15000</v>
      </c>
      <c r="F306" s="21" t="s">
        <v>27</v>
      </c>
      <c r="G306" s="21" t="s">
        <v>72</v>
      </c>
      <c r="H306" s="21" t="s">
        <v>73</v>
      </c>
      <c r="I306" s="21" t="s">
        <v>1123</v>
      </c>
      <c r="J306" s="68">
        <f>+MONTH(ExpenseTable[[#This Row],[Voucher Date]])</f>
        <v>3</v>
      </c>
      <c r="K306" s="68" t="s">
        <v>238</v>
      </c>
    </row>
    <row r="307" spans="1:11" x14ac:dyDescent="0.35">
      <c r="A307" s="15">
        <v>45742</v>
      </c>
      <c r="B307" s="11" t="s">
        <v>854</v>
      </c>
      <c r="C307" s="19">
        <v>45741</v>
      </c>
      <c r="D307" s="13" t="s">
        <v>356</v>
      </c>
      <c r="E307" s="12">
        <v>19000</v>
      </c>
      <c r="F307" s="21" t="s">
        <v>22</v>
      </c>
      <c r="G307" s="21" t="s">
        <v>72</v>
      </c>
      <c r="H307" s="21" t="s">
        <v>73</v>
      </c>
      <c r="I307" s="21" t="s">
        <v>1123</v>
      </c>
      <c r="J307" s="68">
        <f>+MONTH(ExpenseTable[[#This Row],[Voucher Date]])</f>
        <v>3</v>
      </c>
      <c r="K307" s="68" t="s">
        <v>238</v>
      </c>
    </row>
    <row r="308" spans="1:11" x14ac:dyDescent="0.35">
      <c r="A308" s="15">
        <v>45741</v>
      </c>
      <c r="B308" s="11" t="s">
        <v>854</v>
      </c>
      <c r="C308" s="19">
        <v>45741</v>
      </c>
      <c r="D308" s="13" t="s">
        <v>355</v>
      </c>
      <c r="E308" s="12">
        <v>30000</v>
      </c>
      <c r="F308" s="21" t="s">
        <v>22</v>
      </c>
      <c r="G308" s="21" t="s">
        <v>72</v>
      </c>
      <c r="H308" s="21" t="s">
        <v>73</v>
      </c>
      <c r="I308" s="21" t="s">
        <v>1123</v>
      </c>
      <c r="J308" s="68">
        <f>+MONTH(ExpenseTable[[#This Row],[Voucher Date]])</f>
        <v>3</v>
      </c>
      <c r="K308" s="68" t="s">
        <v>238</v>
      </c>
    </row>
    <row r="309" spans="1:11" x14ac:dyDescent="0.35">
      <c r="A309" s="15">
        <v>45741</v>
      </c>
      <c r="B309" s="11" t="s">
        <v>854</v>
      </c>
      <c r="C309" s="19">
        <v>45741</v>
      </c>
      <c r="D309" s="13" t="s">
        <v>354</v>
      </c>
      <c r="E309" s="12">
        <v>32000</v>
      </c>
      <c r="F309" s="21" t="s">
        <v>22</v>
      </c>
      <c r="G309" s="21" t="s">
        <v>72</v>
      </c>
      <c r="H309" s="21" t="s">
        <v>73</v>
      </c>
      <c r="I309" s="21" t="s">
        <v>1123</v>
      </c>
      <c r="J309" s="68">
        <f>+MONTH(ExpenseTable[[#This Row],[Voucher Date]])</f>
        <v>3</v>
      </c>
      <c r="K309" s="68" t="s">
        <v>238</v>
      </c>
    </row>
    <row r="310" spans="1:11" x14ac:dyDescent="0.35">
      <c r="A310" s="15">
        <v>45744</v>
      </c>
      <c r="B310" s="11" t="s">
        <v>854</v>
      </c>
      <c r="C310" s="19">
        <v>45741</v>
      </c>
      <c r="D310" s="13" t="s">
        <v>360</v>
      </c>
      <c r="E310" s="12">
        <v>75000</v>
      </c>
      <c r="F310" s="21" t="s">
        <v>30</v>
      </c>
      <c r="G310" s="21" t="s">
        <v>72</v>
      </c>
      <c r="H310" s="21" t="s">
        <v>73</v>
      </c>
      <c r="I310" s="21" t="s">
        <v>1123</v>
      </c>
      <c r="J310" s="68">
        <f>+MONTH(ExpenseTable[[#This Row],[Voucher Date]])</f>
        <v>3</v>
      </c>
      <c r="K310" s="68" t="s">
        <v>238</v>
      </c>
    </row>
    <row r="311" spans="1:11" x14ac:dyDescent="0.35">
      <c r="A311" s="15">
        <v>45744</v>
      </c>
      <c r="B311" s="11" t="s">
        <v>854</v>
      </c>
      <c r="C311" s="19">
        <v>45741</v>
      </c>
      <c r="D311" s="13" t="s">
        <v>361</v>
      </c>
      <c r="E311" s="12">
        <v>400000</v>
      </c>
      <c r="F311" s="21" t="s">
        <v>23</v>
      </c>
      <c r="G311" s="21" t="s">
        <v>72</v>
      </c>
      <c r="H311" s="21" t="s">
        <v>73</v>
      </c>
      <c r="I311" s="21" t="s">
        <v>1123</v>
      </c>
      <c r="J311" s="68">
        <f>+MONTH(ExpenseTable[[#This Row],[Voucher Date]])</f>
        <v>3</v>
      </c>
      <c r="K311" s="68" t="s">
        <v>238</v>
      </c>
    </row>
    <row r="312" spans="1:11" x14ac:dyDescent="0.35">
      <c r="A312" s="15">
        <v>45744</v>
      </c>
      <c r="B312" s="11" t="s">
        <v>854</v>
      </c>
      <c r="C312" s="19">
        <v>45741</v>
      </c>
      <c r="D312" s="13" t="s">
        <v>359</v>
      </c>
      <c r="E312" s="12">
        <v>600000</v>
      </c>
      <c r="F312" s="21" t="s">
        <v>30</v>
      </c>
      <c r="G312" s="21" t="s">
        <v>72</v>
      </c>
      <c r="H312" s="21" t="s">
        <v>73</v>
      </c>
      <c r="I312" s="21" t="s">
        <v>1123</v>
      </c>
      <c r="J312" s="68">
        <f>+MONTH(ExpenseTable[[#This Row],[Voucher Date]])</f>
        <v>3</v>
      </c>
      <c r="K312" s="68" t="s">
        <v>238</v>
      </c>
    </row>
    <row r="313" spans="1:11" x14ac:dyDescent="0.35">
      <c r="A313" s="15">
        <v>45742</v>
      </c>
      <c r="B313" s="11" t="s">
        <v>362</v>
      </c>
      <c r="C313" s="19">
        <v>45742</v>
      </c>
      <c r="D313" s="13" t="s">
        <v>363</v>
      </c>
      <c r="E313" s="12">
        <v>800000</v>
      </c>
      <c r="F313" s="21" t="s">
        <v>55</v>
      </c>
      <c r="G313" s="21" t="s">
        <v>72</v>
      </c>
      <c r="H313" s="21" t="s">
        <v>73</v>
      </c>
      <c r="I313" s="21" t="s">
        <v>91</v>
      </c>
      <c r="J313" s="68">
        <f>+MONTH(ExpenseTable[[#This Row],[Voucher Date]])</f>
        <v>3</v>
      </c>
      <c r="K313" s="68" t="s">
        <v>238</v>
      </c>
    </row>
    <row r="314" spans="1:11" x14ac:dyDescent="0.35">
      <c r="A314" s="15">
        <v>45743</v>
      </c>
      <c r="B314" s="11" t="s">
        <v>362</v>
      </c>
      <c r="C314" s="19">
        <v>45742</v>
      </c>
      <c r="D314" s="13" t="s">
        <v>324</v>
      </c>
      <c r="E314" s="12">
        <v>813750</v>
      </c>
      <c r="F314" s="21" t="s">
        <v>54</v>
      </c>
      <c r="G314" s="21" t="s">
        <v>66</v>
      </c>
      <c r="H314" s="21" t="s">
        <v>68</v>
      </c>
      <c r="I314" s="21" t="s">
        <v>91</v>
      </c>
      <c r="J314" s="68">
        <f>+MONTH(ExpenseTable[[#This Row],[Voucher Date]])</f>
        <v>3</v>
      </c>
      <c r="K314" s="68" t="s">
        <v>238</v>
      </c>
    </row>
    <row r="315" spans="1:11" x14ac:dyDescent="0.35">
      <c r="A315" s="15">
        <v>45743</v>
      </c>
      <c r="B315" s="11" t="s">
        <v>364</v>
      </c>
      <c r="C315" s="19">
        <v>45743</v>
      </c>
      <c r="D315" s="13" t="s">
        <v>320</v>
      </c>
      <c r="E315" s="12">
        <v>500</v>
      </c>
      <c r="F315" s="21" t="s">
        <v>21</v>
      </c>
      <c r="G315" s="21" t="s">
        <v>72</v>
      </c>
      <c r="H315" s="21" t="s">
        <v>73</v>
      </c>
      <c r="I315" s="21" t="s">
        <v>90</v>
      </c>
      <c r="J315" s="68">
        <f>+MONTH(ExpenseTable[[#This Row],[Voucher Date]])</f>
        <v>3</v>
      </c>
      <c r="K315" s="68" t="s">
        <v>238</v>
      </c>
    </row>
    <row r="316" spans="1:11" x14ac:dyDescent="0.35">
      <c r="A316" s="15">
        <v>45743</v>
      </c>
      <c r="B316" s="11" t="s">
        <v>364</v>
      </c>
      <c r="C316" s="19">
        <v>45743</v>
      </c>
      <c r="D316" s="13" t="s">
        <v>365</v>
      </c>
      <c r="E316" s="12">
        <v>1200</v>
      </c>
      <c r="F316" s="21" t="s">
        <v>54</v>
      </c>
      <c r="G316" s="21" t="s">
        <v>67</v>
      </c>
      <c r="H316" s="21" t="s">
        <v>79</v>
      </c>
      <c r="I316" s="21" t="s">
        <v>90</v>
      </c>
      <c r="J316" s="68">
        <f>+MONTH(ExpenseTable[[#This Row],[Voucher Date]])</f>
        <v>3</v>
      </c>
      <c r="K316" s="68" t="s">
        <v>238</v>
      </c>
    </row>
    <row r="317" spans="1:11" x14ac:dyDescent="0.35">
      <c r="A317" s="15">
        <v>45743</v>
      </c>
      <c r="B317" s="11" t="s">
        <v>364</v>
      </c>
      <c r="C317" s="19">
        <v>45743</v>
      </c>
      <c r="D317" s="13" t="s">
        <v>367</v>
      </c>
      <c r="E317" s="12">
        <v>2500</v>
      </c>
      <c r="F317" s="21" t="s">
        <v>22</v>
      </c>
      <c r="G317" s="21" t="s">
        <v>72</v>
      </c>
      <c r="H317" s="21" t="s">
        <v>73</v>
      </c>
      <c r="I317" s="21" t="s">
        <v>90</v>
      </c>
      <c r="J317" s="68">
        <f>+MONTH(ExpenseTable[[#This Row],[Voucher Date]])</f>
        <v>3</v>
      </c>
      <c r="K317" s="68" t="s">
        <v>238</v>
      </c>
    </row>
    <row r="318" spans="1:11" x14ac:dyDescent="0.35">
      <c r="A318" s="15">
        <v>45743</v>
      </c>
      <c r="B318" s="11" t="s">
        <v>364</v>
      </c>
      <c r="C318" s="19">
        <v>45743</v>
      </c>
      <c r="D318" s="13" t="s">
        <v>370</v>
      </c>
      <c r="E318" s="12">
        <v>3500</v>
      </c>
      <c r="F318" s="21" t="s">
        <v>25</v>
      </c>
      <c r="G318" s="21" t="s">
        <v>72</v>
      </c>
      <c r="H318" s="21" t="s">
        <v>73</v>
      </c>
      <c r="I318" s="21" t="s">
        <v>90</v>
      </c>
      <c r="J318" s="68">
        <f>+MONTH(ExpenseTable[[#This Row],[Voucher Date]])</f>
        <v>3</v>
      </c>
      <c r="K318" s="68" t="s">
        <v>238</v>
      </c>
    </row>
    <row r="319" spans="1:11" x14ac:dyDescent="0.35">
      <c r="A319" s="15">
        <v>45743</v>
      </c>
      <c r="B319" s="11" t="s">
        <v>364</v>
      </c>
      <c r="C319" s="19">
        <v>45743</v>
      </c>
      <c r="D319" s="13" t="s">
        <v>368</v>
      </c>
      <c r="E319" s="12">
        <v>4200</v>
      </c>
      <c r="F319" s="21" t="s">
        <v>27</v>
      </c>
      <c r="G319" s="21" t="s">
        <v>72</v>
      </c>
      <c r="H319" s="21" t="s">
        <v>73</v>
      </c>
      <c r="I319" s="21" t="s">
        <v>90</v>
      </c>
      <c r="J319" s="68">
        <f>+MONTH(ExpenseTable[[#This Row],[Voucher Date]])</f>
        <v>3</v>
      </c>
      <c r="K319" s="68" t="s">
        <v>238</v>
      </c>
    </row>
    <row r="320" spans="1:11" x14ac:dyDescent="0.35">
      <c r="A320" s="15">
        <v>45743</v>
      </c>
      <c r="B320" s="11" t="s">
        <v>364</v>
      </c>
      <c r="C320" s="19">
        <v>45743</v>
      </c>
      <c r="D320" s="13" t="s">
        <v>366</v>
      </c>
      <c r="E320" s="12">
        <v>35000</v>
      </c>
      <c r="F320" s="21" t="s">
        <v>5</v>
      </c>
      <c r="G320" s="21" t="s">
        <v>72</v>
      </c>
      <c r="H320" s="21" t="s">
        <v>73</v>
      </c>
      <c r="I320" s="21" t="s">
        <v>90</v>
      </c>
      <c r="J320" s="68">
        <f>+MONTH(ExpenseTable[[#This Row],[Voucher Date]])</f>
        <v>3</v>
      </c>
      <c r="K320" s="68" t="s">
        <v>238</v>
      </c>
    </row>
    <row r="321" spans="1:11" x14ac:dyDescent="0.35">
      <c r="A321" s="15">
        <v>45743</v>
      </c>
      <c r="B321" s="11" t="s">
        <v>364</v>
      </c>
      <c r="C321" s="19">
        <v>45743</v>
      </c>
      <c r="D321" s="13" t="s">
        <v>369</v>
      </c>
      <c r="E321" s="12">
        <v>36600</v>
      </c>
      <c r="F321" s="21" t="s">
        <v>57</v>
      </c>
      <c r="G321" s="21" t="s">
        <v>66</v>
      </c>
      <c r="H321" s="21" t="s">
        <v>68</v>
      </c>
      <c r="I321" s="21" t="s">
        <v>90</v>
      </c>
      <c r="J321" s="68">
        <f>+MONTH(ExpenseTable[[#This Row],[Voucher Date]])</f>
        <v>3</v>
      </c>
      <c r="K321" s="68" t="s">
        <v>238</v>
      </c>
    </row>
    <row r="322" spans="1:11" x14ac:dyDescent="0.35">
      <c r="A322" s="15">
        <v>45743</v>
      </c>
      <c r="B322" s="11" t="s">
        <v>364</v>
      </c>
      <c r="C322" s="19">
        <v>45743</v>
      </c>
      <c r="D322" s="13" t="s">
        <v>288</v>
      </c>
      <c r="E322" s="12">
        <v>50000</v>
      </c>
      <c r="F322" s="21" t="s">
        <v>40</v>
      </c>
      <c r="G322" s="21" t="s">
        <v>72</v>
      </c>
      <c r="H322" s="21" t="s">
        <v>73</v>
      </c>
      <c r="I322" s="21" t="s">
        <v>90</v>
      </c>
      <c r="J322" s="68">
        <f>+MONTH(ExpenseTable[[#This Row],[Voucher Date]])</f>
        <v>3</v>
      </c>
      <c r="K322" s="68" t="s">
        <v>238</v>
      </c>
    </row>
    <row r="323" spans="1:11" x14ac:dyDescent="0.35">
      <c r="A323" s="15">
        <v>45744</v>
      </c>
      <c r="B323" s="11" t="s">
        <v>371</v>
      </c>
      <c r="C323" s="19">
        <v>45744</v>
      </c>
      <c r="D323" s="13" t="s">
        <v>281</v>
      </c>
      <c r="E323" s="12">
        <v>10000</v>
      </c>
      <c r="F323" s="21" t="s">
        <v>30</v>
      </c>
      <c r="G323" s="21" t="s">
        <v>72</v>
      </c>
      <c r="H323" s="21" t="s">
        <v>73</v>
      </c>
      <c r="I323" s="21" t="s">
        <v>90</v>
      </c>
      <c r="J323" s="68">
        <f>+MONTH(ExpenseTable[[#This Row],[Voucher Date]])</f>
        <v>3</v>
      </c>
      <c r="K323" s="68" t="s">
        <v>238</v>
      </c>
    </row>
    <row r="324" spans="1:11" x14ac:dyDescent="0.35">
      <c r="A324" s="15">
        <v>45744</v>
      </c>
      <c r="B324" s="11" t="s">
        <v>371</v>
      </c>
      <c r="C324" s="19">
        <v>45744</v>
      </c>
      <c r="D324" s="13" t="s">
        <v>381</v>
      </c>
      <c r="E324" s="12">
        <v>25000</v>
      </c>
      <c r="F324" s="21" t="s">
        <v>29</v>
      </c>
      <c r="G324" s="21" t="s">
        <v>72</v>
      </c>
      <c r="H324" s="21" t="s">
        <v>73</v>
      </c>
      <c r="I324" s="21" t="s">
        <v>90</v>
      </c>
      <c r="J324" s="68">
        <f>+MONTH(ExpenseTable[[#This Row],[Voucher Date]])</f>
        <v>3</v>
      </c>
      <c r="K324" s="68" t="s">
        <v>238</v>
      </c>
    </row>
    <row r="325" spans="1:11" x14ac:dyDescent="0.35">
      <c r="A325" s="15">
        <v>45744</v>
      </c>
      <c r="B325" s="11" t="s">
        <v>371</v>
      </c>
      <c r="C325" s="19">
        <v>45744</v>
      </c>
      <c r="D325" s="13" t="s">
        <v>372</v>
      </c>
      <c r="E325" s="12">
        <v>80000</v>
      </c>
      <c r="F325" s="21" t="s">
        <v>20</v>
      </c>
      <c r="G325" s="21" t="s">
        <v>72</v>
      </c>
      <c r="H325" s="21" t="s">
        <v>73</v>
      </c>
      <c r="I325" s="21" t="s">
        <v>90</v>
      </c>
      <c r="J325" s="68">
        <f>+MONTH(ExpenseTable[[#This Row],[Voucher Date]])</f>
        <v>3</v>
      </c>
      <c r="K325" s="68" t="s">
        <v>238</v>
      </c>
    </row>
    <row r="326" spans="1:11" x14ac:dyDescent="0.35">
      <c r="A326" s="15">
        <v>45744</v>
      </c>
      <c r="B326" s="11" t="s">
        <v>376</v>
      </c>
      <c r="C326" s="19">
        <v>45744</v>
      </c>
      <c r="D326" s="13" t="s">
        <v>373</v>
      </c>
      <c r="E326" s="12">
        <v>9000</v>
      </c>
      <c r="F326" s="21" t="s">
        <v>5</v>
      </c>
      <c r="G326" s="21" t="s">
        <v>72</v>
      </c>
      <c r="H326" s="21" t="s">
        <v>73</v>
      </c>
      <c r="I326" s="21" t="s">
        <v>1123</v>
      </c>
      <c r="J326" s="68">
        <f>+MONTH(ExpenseTable[[#This Row],[Voucher Date]])</f>
        <v>3</v>
      </c>
      <c r="K326" s="68" t="s">
        <v>238</v>
      </c>
    </row>
    <row r="327" spans="1:11" x14ac:dyDescent="0.35">
      <c r="A327" s="15">
        <v>45744</v>
      </c>
      <c r="B327" s="11" t="s">
        <v>376</v>
      </c>
      <c r="C327" s="19">
        <v>45744</v>
      </c>
      <c r="D327" s="13" t="s">
        <v>374</v>
      </c>
      <c r="E327" s="12">
        <v>10500</v>
      </c>
      <c r="F327" s="21" t="s">
        <v>22</v>
      </c>
      <c r="G327" s="21" t="s">
        <v>72</v>
      </c>
      <c r="H327" s="21" t="s">
        <v>73</v>
      </c>
      <c r="I327" s="21" t="s">
        <v>1123</v>
      </c>
      <c r="J327" s="68">
        <f>+MONTH(ExpenseTable[[#This Row],[Voucher Date]])</f>
        <v>3</v>
      </c>
      <c r="K327" s="68" t="s">
        <v>238</v>
      </c>
    </row>
    <row r="328" spans="1:11" x14ac:dyDescent="0.35">
      <c r="A328" s="15">
        <v>45745</v>
      </c>
      <c r="B328" s="11" t="s">
        <v>376</v>
      </c>
      <c r="C328" s="19">
        <v>45744</v>
      </c>
      <c r="D328" s="13" t="s">
        <v>129</v>
      </c>
      <c r="E328" s="12">
        <v>15000</v>
      </c>
      <c r="F328" s="21" t="s">
        <v>40</v>
      </c>
      <c r="G328" s="21" t="s">
        <v>72</v>
      </c>
      <c r="H328" s="21" t="s">
        <v>73</v>
      </c>
      <c r="I328" s="21" t="s">
        <v>1123</v>
      </c>
      <c r="J328" s="68">
        <f>+MONTH(ExpenseTable[[#This Row],[Voucher Date]])</f>
        <v>3</v>
      </c>
      <c r="K328" s="68" t="s">
        <v>238</v>
      </c>
    </row>
    <row r="329" spans="1:11" x14ac:dyDescent="0.35">
      <c r="A329" s="15">
        <v>45740</v>
      </c>
      <c r="B329" s="11" t="s">
        <v>376</v>
      </c>
      <c r="C329" s="19">
        <v>45744</v>
      </c>
      <c r="D329" s="13" t="s">
        <v>129</v>
      </c>
      <c r="E329" s="12">
        <v>50000</v>
      </c>
      <c r="F329" s="21" t="s">
        <v>40</v>
      </c>
      <c r="G329" s="21" t="s">
        <v>72</v>
      </c>
      <c r="H329" s="21" t="s">
        <v>73</v>
      </c>
      <c r="I329" s="21" t="s">
        <v>1123</v>
      </c>
      <c r="J329" s="68">
        <f>+MONTH(ExpenseTable[[#This Row],[Voucher Date]])</f>
        <v>3</v>
      </c>
      <c r="K329" s="68" t="s">
        <v>238</v>
      </c>
    </row>
    <row r="330" spans="1:11" x14ac:dyDescent="0.35">
      <c r="A330" s="15">
        <v>45743</v>
      </c>
      <c r="B330" s="11" t="s">
        <v>376</v>
      </c>
      <c r="C330" s="19">
        <v>45744</v>
      </c>
      <c r="D330" s="13" t="s">
        <v>178</v>
      </c>
      <c r="E330" s="12">
        <v>50000</v>
      </c>
      <c r="F330" s="21" t="s">
        <v>40</v>
      </c>
      <c r="G330" s="21" t="s">
        <v>72</v>
      </c>
      <c r="H330" s="21" t="s">
        <v>73</v>
      </c>
      <c r="I330" s="21" t="s">
        <v>1123</v>
      </c>
      <c r="J330" s="68">
        <f>+MONTH(ExpenseTable[[#This Row],[Voucher Date]])</f>
        <v>3</v>
      </c>
      <c r="K330" s="68" t="s">
        <v>238</v>
      </c>
    </row>
    <row r="331" spans="1:11" x14ac:dyDescent="0.35">
      <c r="A331" s="15">
        <v>45737</v>
      </c>
      <c r="B331" s="11" t="s">
        <v>376</v>
      </c>
      <c r="C331" s="19">
        <v>45744</v>
      </c>
      <c r="D331" s="13" t="s">
        <v>129</v>
      </c>
      <c r="E331" s="12">
        <v>60000</v>
      </c>
      <c r="F331" s="21" t="s">
        <v>40</v>
      </c>
      <c r="G331" s="21" t="s">
        <v>72</v>
      </c>
      <c r="H331" s="21" t="s">
        <v>73</v>
      </c>
      <c r="I331" s="21" t="s">
        <v>1123</v>
      </c>
      <c r="J331" s="68">
        <f>+MONTH(ExpenseTable[[#This Row],[Voucher Date]])</f>
        <v>3</v>
      </c>
      <c r="K331" s="68" t="s">
        <v>238</v>
      </c>
    </row>
    <row r="332" spans="1:11" x14ac:dyDescent="0.35">
      <c r="A332" s="15">
        <v>45745</v>
      </c>
      <c r="B332" s="11" t="s">
        <v>376</v>
      </c>
      <c r="C332" s="19">
        <v>45744</v>
      </c>
      <c r="D332" s="13" t="s">
        <v>377</v>
      </c>
      <c r="E332" s="12">
        <v>116315</v>
      </c>
      <c r="F332" s="21" t="s">
        <v>40</v>
      </c>
      <c r="G332" s="21" t="s">
        <v>72</v>
      </c>
      <c r="H332" s="21" t="s">
        <v>73</v>
      </c>
      <c r="I332" s="21" t="s">
        <v>1123</v>
      </c>
      <c r="J332" s="68">
        <f>+MONTH(ExpenseTable[[#This Row],[Voucher Date]])</f>
        <v>3</v>
      </c>
      <c r="K332" s="68" t="s">
        <v>238</v>
      </c>
    </row>
    <row r="333" spans="1:11" x14ac:dyDescent="0.35">
      <c r="A333" s="15">
        <v>45744</v>
      </c>
      <c r="B333" s="11" t="s">
        <v>855</v>
      </c>
      <c r="C333" s="19">
        <v>45744</v>
      </c>
      <c r="D333" s="13" t="s">
        <v>375</v>
      </c>
      <c r="E333" s="12">
        <v>30000</v>
      </c>
      <c r="F333" s="21" t="s">
        <v>4</v>
      </c>
      <c r="G333" s="21" t="s">
        <v>72</v>
      </c>
      <c r="H333" s="21" t="s">
        <v>73</v>
      </c>
      <c r="I333" s="21" t="s">
        <v>91</v>
      </c>
      <c r="J333" s="68">
        <f>+MONTH(ExpenseTable[[#This Row],[Voucher Date]])</f>
        <v>3</v>
      </c>
      <c r="K333" s="68" t="s">
        <v>238</v>
      </c>
    </row>
    <row r="334" spans="1:11" x14ac:dyDescent="0.35">
      <c r="A334" s="15">
        <v>45744</v>
      </c>
      <c r="B334" s="11" t="s">
        <v>855</v>
      </c>
      <c r="C334" s="19">
        <v>45744</v>
      </c>
      <c r="D334" s="13" t="s">
        <v>378</v>
      </c>
      <c r="E334" s="12">
        <v>30000</v>
      </c>
      <c r="F334" s="21" t="s">
        <v>30</v>
      </c>
      <c r="G334" s="21" t="s">
        <v>72</v>
      </c>
      <c r="H334" s="21" t="s">
        <v>73</v>
      </c>
      <c r="I334" s="21" t="s">
        <v>91</v>
      </c>
      <c r="J334" s="68">
        <f>+MONTH(ExpenseTable[[#This Row],[Voucher Date]])</f>
        <v>3</v>
      </c>
      <c r="K334" s="68" t="s">
        <v>238</v>
      </c>
    </row>
    <row r="335" spans="1:11" x14ac:dyDescent="0.35">
      <c r="A335" s="15">
        <v>45744</v>
      </c>
      <c r="B335" s="11" t="s">
        <v>855</v>
      </c>
      <c r="C335" s="19">
        <v>45744</v>
      </c>
      <c r="D335" s="13" t="s">
        <v>382</v>
      </c>
      <c r="E335" s="12">
        <v>50000</v>
      </c>
      <c r="F335" s="21" t="s">
        <v>42</v>
      </c>
      <c r="G335" s="21" t="s">
        <v>72</v>
      </c>
      <c r="H335" s="21" t="s">
        <v>73</v>
      </c>
      <c r="I335" s="21" t="s">
        <v>91</v>
      </c>
      <c r="J335" s="68">
        <f>+MONTH(ExpenseTable[[#This Row],[Voucher Date]])</f>
        <v>3</v>
      </c>
      <c r="K335" s="68" t="s">
        <v>238</v>
      </c>
    </row>
    <row r="336" spans="1:11" x14ac:dyDescent="0.35">
      <c r="A336" s="15">
        <v>45744</v>
      </c>
      <c r="B336" s="11" t="s">
        <v>855</v>
      </c>
      <c r="C336" s="19">
        <v>45744</v>
      </c>
      <c r="D336" s="13" t="s">
        <v>379</v>
      </c>
      <c r="E336" s="12">
        <v>50000</v>
      </c>
      <c r="F336" s="21" t="s">
        <v>29</v>
      </c>
      <c r="G336" s="21" t="s">
        <v>72</v>
      </c>
      <c r="H336" s="21" t="s">
        <v>73</v>
      </c>
      <c r="I336" s="21" t="s">
        <v>91</v>
      </c>
      <c r="J336" s="68">
        <f>+MONTH(ExpenseTable[[#This Row],[Voucher Date]])</f>
        <v>3</v>
      </c>
      <c r="K336" s="68" t="s">
        <v>238</v>
      </c>
    </row>
    <row r="337" spans="1:11" x14ac:dyDescent="0.35">
      <c r="A337" s="15">
        <v>45744</v>
      </c>
      <c r="B337" s="11" t="s">
        <v>855</v>
      </c>
      <c r="C337" s="19">
        <v>45744</v>
      </c>
      <c r="D337" s="13" t="s">
        <v>123</v>
      </c>
      <c r="E337" s="12">
        <v>372115.38</v>
      </c>
      <c r="F337" s="21" t="s">
        <v>54</v>
      </c>
      <c r="G337" s="21" t="s">
        <v>72</v>
      </c>
      <c r="H337" s="21" t="s">
        <v>73</v>
      </c>
      <c r="I337" s="21" t="s">
        <v>91</v>
      </c>
      <c r="J337" s="68">
        <f>+MONTH(ExpenseTable[[#This Row],[Voucher Date]])</f>
        <v>3</v>
      </c>
      <c r="K337" s="68" t="s">
        <v>238</v>
      </c>
    </row>
    <row r="338" spans="1:11" x14ac:dyDescent="0.35">
      <c r="A338" s="15">
        <v>45744</v>
      </c>
      <c r="B338" s="11" t="s">
        <v>855</v>
      </c>
      <c r="C338" s="19">
        <v>45744</v>
      </c>
      <c r="D338" s="13" t="s">
        <v>380</v>
      </c>
      <c r="E338" s="12">
        <v>1285911.55</v>
      </c>
      <c r="F338" s="21" t="s">
        <v>29</v>
      </c>
      <c r="G338" s="21" t="s">
        <v>72</v>
      </c>
      <c r="H338" s="21" t="s">
        <v>73</v>
      </c>
      <c r="I338" s="21" t="s">
        <v>91</v>
      </c>
      <c r="J338" s="68">
        <f>+MONTH(ExpenseTable[[#This Row],[Voucher Date]])</f>
        <v>3</v>
      </c>
      <c r="K338" s="68" t="s">
        <v>238</v>
      </c>
    </row>
    <row r="339" spans="1:11" x14ac:dyDescent="0.35">
      <c r="A339" s="15">
        <v>45745</v>
      </c>
      <c r="B339" s="11" t="s">
        <v>383</v>
      </c>
      <c r="C339" s="19">
        <v>45745</v>
      </c>
      <c r="D339" s="13" t="s">
        <v>390</v>
      </c>
      <c r="E339" s="12">
        <v>2000</v>
      </c>
      <c r="F339" s="21" t="s">
        <v>23</v>
      </c>
      <c r="G339" s="21" t="s">
        <v>72</v>
      </c>
      <c r="H339" s="21" t="s">
        <v>73</v>
      </c>
      <c r="I339" s="21" t="s">
        <v>1123</v>
      </c>
      <c r="J339" s="68">
        <f>+MONTH(ExpenseTable[[#This Row],[Voucher Date]])</f>
        <v>3</v>
      </c>
      <c r="K339" s="68" t="s">
        <v>238</v>
      </c>
    </row>
    <row r="340" spans="1:11" x14ac:dyDescent="0.35">
      <c r="A340" s="15">
        <v>45745</v>
      </c>
      <c r="B340" s="11" t="s">
        <v>383</v>
      </c>
      <c r="C340" s="19">
        <v>45745</v>
      </c>
      <c r="D340" s="13" t="s">
        <v>384</v>
      </c>
      <c r="E340" s="12">
        <v>4000</v>
      </c>
      <c r="F340" s="21" t="s">
        <v>54</v>
      </c>
      <c r="G340" s="21" t="s">
        <v>72</v>
      </c>
      <c r="H340" s="21" t="s">
        <v>73</v>
      </c>
      <c r="I340" s="21" t="s">
        <v>1123</v>
      </c>
      <c r="J340" s="68">
        <f>+MONTH(ExpenseTable[[#This Row],[Voucher Date]])</f>
        <v>3</v>
      </c>
      <c r="K340" s="68" t="s">
        <v>238</v>
      </c>
    </row>
    <row r="341" spans="1:11" x14ac:dyDescent="0.35">
      <c r="A341" s="15">
        <v>45749</v>
      </c>
      <c r="B341" s="11" t="s">
        <v>383</v>
      </c>
      <c r="C341" s="19">
        <v>45745</v>
      </c>
      <c r="D341" s="13" t="s">
        <v>391</v>
      </c>
      <c r="E341" s="12">
        <v>5000</v>
      </c>
      <c r="F341" s="21" t="s">
        <v>23</v>
      </c>
      <c r="G341" s="21" t="s">
        <v>72</v>
      </c>
      <c r="H341" s="21" t="s">
        <v>73</v>
      </c>
      <c r="I341" s="21" t="s">
        <v>1123</v>
      </c>
      <c r="J341" s="68">
        <f>+MONTH(ExpenseTable[[#This Row],[Voucher Date]])</f>
        <v>3</v>
      </c>
      <c r="K341" s="68" t="s">
        <v>238</v>
      </c>
    </row>
    <row r="342" spans="1:11" x14ac:dyDescent="0.35">
      <c r="A342" s="15">
        <v>45747</v>
      </c>
      <c r="B342" s="11" t="s">
        <v>383</v>
      </c>
      <c r="C342" s="19">
        <v>45745</v>
      </c>
      <c r="D342" s="13" t="s">
        <v>388</v>
      </c>
      <c r="E342" s="12">
        <v>15000</v>
      </c>
      <c r="F342" s="21" t="s">
        <v>35</v>
      </c>
      <c r="G342" s="21" t="s">
        <v>72</v>
      </c>
      <c r="H342" s="21" t="s">
        <v>73</v>
      </c>
      <c r="I342" s="21" t="s">
        <v>1123</v>
      </c>
      <c r="J342" s="68">
        <f>+MONTH(ExpenseTable[[#This Row],[Voucher Date]])</f>
        <v>3</v>
      </c>
      <c r="K342" s="68" t="s">
        <v>238</v>
      </c>
    </row>
    <row r="343" spans="1:11" x14ac:dyDescent="0.35">
      <c r="A343" s="15">
        <v>45745</v>
      </c>
      <c r="B343" s="11" t="s">
        <v>383</v>
      </c>
      <c r="C343" s="19">
        <v>45745</v>
      </c>
      <c r="D343" s="13" t="s">
        <v>385</v>
      </c>
      <c r="E343" s="12">
        <v>20000</v>
      </c>
      <c r="F343" s="21" t="s">
        <v>54</v>
      </c>
      <c r="G343" s="21" t="s">
        <v>80</v>
      </c>
      <c r="H343" s="21" t="s">
        <v>81</v>
      </c>
      <c r="I343" s="21" t="s">
        <v>1123</v>
      </c>
      <c r="J343" s="68">
        <f>+MONTH(ExpenseTable[[#This Row],[Voucher Date]])</f>
        <v>3</v>
      </c>
      <c r="K343" s="68" t="s">
        <v>238</v>
      </c>
    </row>
    <row r="344" spans="1:11" x14ac:dyDescent="0.35">
      <c r="A344" s="15">
        <v>45749</v>
      </c>
      <c r="B344" s="11" t="s">
        <v>383</v>
      </c>
      <c r="C344" s="19">
        <v>45745</v>
      </c>
      <c r="D344" s="13" t="s">
        <v>389</v>
      </c>
      <c r="E344" s="12">
        <v>34000</v>
      </c>
      <c r="F344" s="21" t="s">
        <v>35</v>
      </c>
      <c r="G344" s="21" t="s">
        <v>72</v>
      </c>
      <c r="H344" s="21" t="s">
        <v>73</v>
      </c>
      <c r="I344" s="21" t="s">
        <v>1123</v>
      </c>
      <c r="J344" s="68">
        <f>+MONTH(ExpenseTable[[#This Row],[Voucher Date]])</f>
        <v>3</v>
      </c>
      <c r="K344" s="68" t="s">
        <v>238</v>
      </c>
    </row>
    <row r="345" spans="1:11" x14ac:dyDescent="0.35">
      <c r="A345" s="15">
        <v>45749</v>
      </c>
      <c r="B345" s="11" t="s">
        <v>383</v>
      </c>
      <c r="C345" s="19">
        <v>45745</v>
      </c>
      <c r="D345" s="13" t="s">
        <v>387</v>
      </c>
      <c r="E345" s="12">
        <v>80000</v>
      </c>
      <c r="F345" s="21" t="s">
        <v>5</v>
      </c>
      <c r="G345" s="21" t="s">
        <v>72</v>
      </c>
      <c r="H345" s="21" t="s">
        <v>73</v>
      </c>
      <c r="I345" s="21" t="s">
        <v>1123</v>
      </c>
      <c r="J345" s="68">
        <f>+MONTH(ExpenseTable[[#This Row],[Voucher Date]])</f>
        <v>3</v>
      </c>
      <c r="K345" s="68" t="s">
        <v>238</v>
      </c>
    </row>
    <row r="346" spans="1:11" x14ac:dyDescent="0.35">
      <c r="A346" s="15">
        <v>45749</v>
      </c>
      <c r="B346" s="11" t="s">
        <v>383</v>
      </c>
      <c r="C346" s="19">
        <v>45745</v>
      </c>
      <c r="D346" s="13" t="s">
        <v>386</v>
      </c>
      <c r="E346" s="12">
        <v>180000</v>
      </c>
      <c r="F346" s="21" t="s">
        <v>54</v>
      </c>
      <c r="G346" s="21" t="s">
        <v>67</v>
      </c>
      <c r="H346" s="21" t="s">
        <v>79</v>
      </c>
      <c r="I346" s="21" t="s">
        <v>1123</v>
      </c>
      <c r="J346" s="68">
        <f>+MONTH(ExpenseTable[[#This Row],[Voucher Date]])</f>
        <v>3</v>
      </c>
      <c r="K346" s="68" t="s">
        <v>238</v>
      </c>
    </row>
    <row r="347" spans="1:11" x14ac:dyDescent="0.35">
      <c r="A347" s="15">
        <v>45740</v>
      </c>
      <c r="B347" s="11" t="s">
        <v>392</v>
      </c>
      <c r="C347" s="19">
        <v>45748</v>
      </c>
      <c r="D347" s="13" t="s">
        <v>204</v>
      </c>
      <c r="E347" s="12">
        <v>2400</v>
      </c>
      <c r="F347" s="21" t="s">
        <v>54</v>
      </c>
      <c r="G347" s="21" t="s">
        <v>66</v>
      </c>
      <c r="H347" s="21" t="s">
        <v>68</v>
      </c>
      <c r="I347" s="21" t="s">
        <v>90</v>
      </c>
      <c r="J347" s="68">
        <f>+MONTH(ExpenseTable[[#This Row],[Voucher Date]])</f>
        <v>4</v>
      </c>
      <c r="K347" s="68" t="s">
        <v>238</v>
      </c>
    </row>
    <row r="348" spans="1:11" x14ac:dyDescent="0.35">
      <c r="A348" s="15">
        <v>45748</v>
      </c>
      <c r="B348" s="11" t="s">
        <v>392</v>
      </c>
      <c r="C348" s="19">
        <v>45748</v>
      </c>
      <c r="D348" s="13" t="s">
        <v>395</v>
      </c>
      <c r="E348" s="12">
        <v>4000</v>
      </c>
      <c r="F348" s="21" t="s">
        <v>23</v>
      </c>
      <c r="G348" s="21" t="s">
        <v>72</v>
      </c>
      <c r="H348" s="21" t="s">
        <v>73</v>
      </c>
      <c r="I348" s="21" t="s">
        <v>90</v>
      </c>
      <c r="J348" s="68">
        <f>+MONTH(ExpenseTable[[#This Row],[Voucher Date]])</f>
        <v>4</v>
      </c>
      <c r="K348" s="68" t="s">
        <v>238</v>
      </c>
    </row>
    <row r="349" spans="1:11" x14ac:dyDescent="0.35">
      <c r="A349" s="15">
        <v>45754</v>
      </c>
      <c r="B349" s="11" t="s">
        <v>392</v>
      </c>
      <c r="C349" s="19">
        <v>45748</v>
      </c>
      <c r="D349" s="13" t="s">
        <v>393</v>
      </c>
      <c r="E349" s="12">
        <v>8250</v>
      </c>
      <c r="F349" s="21" t="s">
        <v>37</v>
      </c>
      <c r="G349" s="21" t="s">
        <v>72</v>
      </c>
      <c r="H349" s="21" t="s">
        <v>73</v>
      </c>
      <c r="I349" s="21" t="s">
        <v>90</v>
      </c>
      <c r="J349" s="68">
        <f>+MONTH(ExpenseTable[[#This Row],[Voucher Date]])</f>
        <v>4</v>
      </c>
      <c r="K349" s="68" t="s">
        <v>238</v>
      </c>
    </row>
    <row r="350" spans="1:11" x14ac:dyDescent="0.35">
      <c r="A350" s="15">
        <v>45740</v>
      </c>
      <c r="B350" s="11" t="s">
        <v>392</v>
      </c>
      <c r="C350" s="19">
        <v>45748</v>
      </c>
      <c r="D350" s="13" t="s">
        <v>224</v>
      </c>
      <c r="E350" s="12">
        <v>20000</v>
      </c>
      <c r="F350" s="21" t="s">
        <v>32</v>
      </c>
      <c r="G350" s="21" t="s">
        <v>72</v>
      </c>
      <c r="H350" s="21" t="s">
        <v>73</v>
      </c>
      <c r="I350" s="21" t="s">
        <v>90</v>
      </c>
      <c r="J350" s="68">
        <f>+MONTH(ExpenseTable[[#This Row],[Voucher Date]])</f>
        <v>4</v>
      </c>
      <c r="K350" s="68" t="s">
        <v>238</v>
      </c>
    </row>
    <row r="351" spans="1:11" x14ac:dyDescent="0.35">
      <c r="A351" s="15">
        <v>45754</v>
      </c>
      <c r="B351" s="11" t="s">
        <v>392</v>
      </c>
      <c r="C351" s="19">
        <v>45748</v>
      </c>
      <c r="D351" s="13" t="s">
        <v>224</v>
      </c>
      <c r="E351" s="12">
        <v>28050</v>
      </c>
      <c r="F351" s="21" t="s">
        <v>32</v>
      </c>
      <c r="G351" s="21" t="s">
        <v>72</v>
      </c>
      <c r="H351" s="21" t="s">
        <v>73</v>
      </c>
      <c r="I351" s="21" t="s">
        <v>90</v>
      </c>
      <c r="J351" s="68">
        <f>+MONTH(ExpenseTable[[#This Row],[Voucher Date]])</f>
        <v>4</v>
      </c>
      <c r="K351" s="68" t="s">
        <v>238</v>
      </c>
    </row>
    <row r="352" spans="1:11" x14ac:dyDescent="0.35">
      <c r="A352" s="15">
        <v>45748</v>
      </c>
      <c r="B352" s="11" t="s">
        <v>392</v>
      </c>
      <c r="C352" s="19">
        <v>45748</v>
      </c>
      <c r="D352" s="13" t="s">
        <v>394</v>
      </c>
      <c r="E352" s="12">
        <v>105000</v>
      </c>
      <c r="F352" s="21" t="s">
        <v>57</v>
      </c>
      <c r="G352" s="21" t="s">
        <v>72</v>
      </c>
      <c r="H352" s="21" t="s">
        <v>73</v>
      </c>
      <c r="I352" s="21" t="s">
        <v>90</v>
      </c>
      <c r="J352" s="68">
        <f>+MONTH(ExpenseTable[[#This Row],[Voucher Date]])</f>
        <v>4</v>
      </c>
      <c r="K352" s="68" t="s">
        <v>238</v>
      </c>
    </row>
    <row r="353" spans="1:11" x14ac:dyDescent="0.35">
      <c r="A353" s="15">
        <v>45750</v>
      </c>
      <c r="B353" s="11" t="s">
        <v>396</v>
      </c>
      <c r="C353" s="19">
        <v>45750</v>
      </c>
      <c r="D353" s="13" t="s">
        <v>218</v>
      </c>
      <c r="E353" s="12">
        <v>2500</v>
      </c>
      <c r="F353" s="21" t="s">
        <v>54</v>
      </c>
      <c r="G353" s="21" t="s">
        <v>66</v>
      </c>
      <c r="H353" s="21" t="s">
        <v>68</v>
      </c>
      <c r="I353" s="21" t="s">
        <v>90</v>
      </c>
      <c r="J353" s="68">
        <f>+MONTH(ExpenseTable[[#This Row],[Voucher Date]])</f>
        <v>4</v>
      </c>
      <c r="K353" s="68" t="s">
        <v>238</v>
      </c>
    </row>
    <row r="354" spans="1:11" x14ac:dyDescent="0.35">
      <c r="A354" s="15">
        <v>45750</v>
      </c>
      <c r="B354" s="11" t="s">
        <v>396</v>
      </c>
      <c r="C354" s="19">
        <v>45750</v>
      </c>
      <c r="D354" s="13" t="s">
        <v>398</v>
      </c>
      <c r="E354" s="12">
        <v>12000</v>
      </c>
      <c r="F354" s="21" t="s">
        <v>34</v>
      </c>
      <c r="G354" s="21" t="s">
        <v>72</v>
      </c>
      <c r="H354" s="21" t="s">
        <v>73</v>
      </c>
      <c r="I354" s="21" t="s">
        <v>90</v>
      </c>
      <c r="J354" s="68">
        <f>+MONTH(ExpenseTable[[#This Row],[Voucher Date]])</f>
        <v>4</v>
      </c>
      <c r="K354" s="68" t="s">
        <v>238</v>
      </c>
    </row>
    <row r="355" spans="1:11" x14ac:dyDescent="0.35">
      <c r="A355" s="15">
        <v>45750</v>
      </c>
      <c r="B355" s="11" t="s">
        <v>396</v>
      </c>
      <c r="C355" s="19">
        <v>45750</v>
      </c>
      <c r="D355" s="13" t="s">
        <v>401</v>
      </c>
      <c r="E355" s="12">
        <v>12000</v>
      </c>
      <c r="F355" s="21" t="s">
        <v>27</v>
      </c>
      <c r="G355" s="21" t="s">
        <v>72</v>
      </c>
      <c r="H355" s="21" t="s">
        <v>73</v>
      </c>
      <c r="I355" s="21" t="s">
        <v>90</v>
      </c>
      <c r="J355" s="68">
        <f>+MONTH(ExpenseTable[[#This Row],[Voucher Date]])</f>
        <v>4</v>
      </c>
      <c r="K355" s="68" t="s">
        <v>238</v>
      </c>
    </row>
    <row r="356" spans="1:11" x14ac:dyDescent="0.35">
      <c r="A356" s="15">
        <v>45750</v>
      </c>
      <c r="B356" s="11" t="s">
        <v>396</v>
      </c>
      <c r="C356" s="19">
        <v>45750</v>
      </c>
      <c r="D356" s="13" t="s">
        <v>129</v>
      </c>
      <c r="E356" s="12">
        <v>28000</v>
      </c>
      <c r="F356" s="21" t="s">
        <v>40</v>
      </c>
      <c r="G356" s="21" t="s">
        <v>72</v>
      </c>
      <c r="H356" s="21" t="s">
        <v>73</v>
      </c>
      <c r="I356" s="21" t="s">
        <v>90</v>
      </c>
      <c r="J356" s="68">
        <f>+MONTH(ExpenseTable[[#This Row],[Voucher Date]])</f>
        <v>4</v>
      </c>
      <c r="K356" s="68" t="s">
        <v>238</v>
      </c>
    </row>
    <row r="357" spans="1:11" x14ac:dyDescent="0.35">
      <c r="A357" s="15">
        <v>45750</v>
      </c>
      <c r="B357" s="11" t="s">
        <v>396</v>
      </c>
      <c r="C357" s="19">
        <v>45750</v>
      </c>
      <c r="D357" s="13" t="s">
        <v>288</v>
      </c>
      <c r="E357" s="12">
        <v>74000</v>
      </c>
      <c r="F357" s="21" t="s">
        <v>40</v>
      </c>
      <c r="G357" s="21" t="s">
        <v>72</v>
      </c>
      <c r="H357" s="21" t="s">
        <v>73</v>
      </c>
      <c r="I357" s="21" t="s">
        <v>90</v>
      </c>
      <c r="J357" s="68">
        <f>+MONTH(ExpenseTable[[#This Row],[Voucher Date]])</f>
        <v>4</v>
      </c>
      <c r="K357" s="68" t="s">
        <v>238</v>
      </c>
    </row>
    <row r="358" spans="1:11" x14ac:dyDescent="0.35">
      <c r="A358" s="15">
        <v>45751</v>
      </c>
      <c r="B358" s="11" t="s">
        <v>402</v>
      </c>
      <c r="C358" s="19">
        <v>45750</v>
      </c>
      <c r="D358" s="13" t="s">
        <v>406</v>
      </c>
      <c r="E358" s="12">
        <v>6000</v>
      </c>
      <c r="F358" s="21" t="s">
        <v>55</v>
      </c>
      <c r="G358" s="21" t="s">
        <v>72</v>
      </c>
      <c r="H358" s="21" t="s">
        <v>73</v>
      </c>
      <c r="I358" s="21" t="s">
        <v>1123</v>
      </c>
      <c r="J358" s="68">
        <f>+MONTH(ExpenseTable[[#This Row],[Voucher Date]])</f>
        <v>4</v>
      </c>
      <c r="K358" s="68" t="s">
        <v>238</v>
      </c>
    </row>
    <row r="359" spans="1:11" x14ac:dyDescent="0.35">
      <c r="A359" s="15">
        <v>45750</v>
      </c>
      <c r="B359" s="11" t="s">
        <v>402</v>
      </c>
      <c r="C359" s="19">
        <v>45750</v>
      </c>
      <c r="D359" s="13" t="s">
        <v>403</v>
      </c>
      <c r="E359" s="12">
        <v>15000</v>
      </c>
      <c r="F359" s="21" t="s">
        <v>35</v>
      </c>
      <c r="G359" s="21" t="s">
        <v>72</v>
      </c>
      <c r="H359" s="21" t="s">
        <v>73</v>
      </c>
      <c r="I359" s="21" t="s">
        <v>1123</v>
      </c>
      <c r="J359" s="68">
        <f>+MONTH(ExpenseTable[[#This Row],[Voucher Date]])</f>
        <v>4</v>
      </c>
      <c r="K359" s="68" t="s">
        <v>238</v>
      </c>
    </row>
    <row r="360" spans="1:11" x14ac:dyDescent="0.35">
      <c r="A360" s="15">
        <v>45751</v>
      </c>
      <c r="B360" s="11" t="s">
        <v>402</v>
      </c>
      <c r="C360" s="19">
        <v>45750</v>
      </c>
      <c r="D360" s="13" t="s">
        <v>399</v>
      </c>
      <c r="E360" s="12">
        <v>40000</v>
      </c>
      <c r="F360" s="21" t="s">
        <v>22</v>
      </c>
      <c r="G360" s="21" t="s">
        <v>72</v>
      </c>
      <c r="H360" s="21" t="s">
        <v>73</v>
      </c>
      <c r="I360" s="21" t="s">
        <v>1123</v>
      </c>
      <c r="J360" s="68">
        <f>+MONTH(ExpenseTable[[#This Row],[Voucher Date]])</f>
        <v>4</v>
      </c>
      <c r="K360" s="68" t="s">
        <v>238</v>
      </c>
    </row>
    <row r="361" spans="1:11" x14ac:dyDescent="0.35">
      <c r="A361" s="15">
        <v>45750</v>
      </c>
      <c r="B361" s="11" t="s">
        <v>402</v>
      </c>
      <c r="C361" s="19">
        <v>45750</v>
      </c>
      <c r="D361" s="13" t="s">
        <v>397</v>
      </c>
      <c r="E361" s="12">
        <v>60000</v>
      </c>
      <c r="F361" s="21" t="s">
        <v>5</v>
      </c>
      <c r="G361" s="21" t="s">
        <v>72</v>
      </c>
      <c r="H361" s="21" t="s">
        <v>73</v>
      </c>
      <c r="I361" s="21" t="s">
        <v>1123</v>
      </c>
      <c r="J361" s="68">
        <f>+MONTH(ExpenseTable[[#This Row],[Voucher Date]])</f>
        <v>4</v>
      </c>
      <c r="K361" s="68" t="s">
        <v>238</v>
      </c>
    </row>
    <row r="362" spans="1:11" x14ac:dyDescent="0.35">
      <c r="A362" s="15">
        <v>45750</v>
      </c>
      <c r="B362" s="11" t="s">
        <v>402</v>
      </c>
      <c r="C362" s="19">
        <v>45750</v>
      </c>
      <c r="D362" s="13" t="s">
        <v>189</v>
      </c>
      <c r="E362" s="12">
        <v>60000</v>
      </c>
      <c r="F362" s="21" t="s">
        <v>40</v>
      </c>
      <c r="G362" s="21" t="s">
        <v>72</v>
      </c>
      <c r="H362" s="21" t="s">
        <v>73</v>
      </c>
      <c r="I362" s="21" t="s">
        <v>1123</v>
      </c>
      <c r="J362" s="68">
        <f>+MONTH(ExpenseTable[[#This Row],[Voucher Date]])</f>
        <v>4</v>
      </c>
      <c r="K362" s="68" t="s">
        <v>238</v>
      </c>
    </row>
    <row r="363" spans="1:11" x14ac:dyDescent="0.35">
      <c r="A363" s="15">
        <v>45752</v>
      </c>
      <c r="B363" s="11" t="s">
        <v>402</v>
      </c>
      <c r="C363" s="19">
        <v>45750</v>
      </c>
      <c r="D363" s="13" t="s">
        <v>189</v>
      </c>
      <c r="E363" s="12">
        <v>60000</v>
      </c>
      <c r="F363" s="21" t="s">
        <v>40</v>
      </c>
      <c r="G363" s="21" t="s">
        <v>72</v>
      </c>
      <c r="H363" s="21" t="s">
        <v>73</v>
      </c>
      <c r="I363" s="21" t="s">
        <v>1123</v>
      </c>
      <c r="J363" s="68">
        <f>+MONTH(ExpenseTable[[#This Row],[Voucher Date]])</f>
        <v>4</v>
      </c>
      <c r="K363" s="68" t="s">
        <v>238</v>
      </c>
    </row>
    <row r="364" spans="1:11" x14ac:dyDescent="0.35">
      <c r="A364" s="15">
        <v>45751</v>
      </c>
      <c r="B364" s="11" t="s">
        <v>402</v>
      </c>
      <c r="C364" s="19">
        <v>45750</v>
      </c>
      <c r="D364" s="13" t="s">
        <v>405</v>
      </c>
      <c r="E364" s="12">
        <v>80000</v>
      </c>
      <c r="F364" s="21" t="s">
        <v>55</v>
      </c>
      <c r="G364" s="21" t="s">
        <v>72</v>
      </c>
      <c r="H364" s="21" t="s">
        <v>73</v>
      </c>
      <c r="I364" s="21" t="s">
        <v>1123</v>
      </c>
      <c r="J364" s="68">
        <f>+MONTH(ExpenseTable[[#This Row],[Voucher Date]])</f>
        <v>4</v>
      </c>
      <c r="K364" s="68" t="s">
        <v>238</v>
      </c>
    </row>
    <row r="365" spans="1:11" x14ac:dyDescent="0.35">
      <c r="A365" s="15">
        <v>45750</v>
      </c>
      <c r="B365" s="11" t="s">
        <v>402</v>
      </c>
      <c r="C365" s="19">
        <v>45750</v>
      </c>
      <c r="D365" s="13" t="s">
        <v>404</v>
      </c>
      <c r="E365" s="12">
        <v>120000</v>
      </c>
      <c r="F365" s="21" t="s">
        <v>23</v>
      </c>
      <c r="G365" s="21" t="s">
        <v>72</v>
      </c>
      <c r="H365" s="21" t="s">
        <v>73</v>
      </c>
      <c r="I365" s="21" t="s">
        <v>1123</v>
      </c>
      <c r="J365" s="68">
        <f>+MONTH(ExpenseTable[[#This Row],[Voucher Date]])</f>
        <v>4</v>
      </c>
      <c r="K365" s="68" t="s">
        <v>238</v>
      </c>
    </row>
    <row r="366" spans="1:11" x14ac:dyDescent="0.35">
      <c r="A366" s="15">
        <v>45752</v>
      </c>
      <c r="B366" s="11" t="s">
        <v>856</v>
      </c>
      <c r="C366" s="19">
        <v>45750</v>
      </c>
      <c r="D366" s="13" t="s">
        <v>400</v>
      </c>
      <c r="E366" s="12">
        <v>40000</v>
      </c>
      <c r="F366" s="21" t="s">
        <v>27</v>
      </c>
      <c r="G366" s="21" t="s">
        <v>72</v>
      </c>
      <c r="H366" s="21" t="s">
        <v>73</v>
      </c>
      <c r="I366" s="21" t="s">
        <v>1123</v>
      </c>
      <c r="J366" s="68">
        <f>+MONTH(ExpenseTable[[#This Row],[Voucher Date]])</f>
        <v>4</v>
      </c>
      <c r="K366" s="68" t="s">
        <v>238</v>
      </c>
    </row>
    <row r="367" spans="1:11" x14ac:dyDescent="0.35">
      <c r="A367" s="15">
        <v>45752</v>
      </c>
      <c r="B367" s="11" t="s">
        <v>856</v>
      </c>
      <c r="C367" s="19">
        <v>45750</v>
      </c>
      <c r="D367" s="13" t="s">
        <v>400</v>
      </c>
      <c r="E367" s="12">
        <v>40000</v>
      </c>
      <c r="F367" s="21" t="s">
        <v>30</v>
      </c>
      <c r="G367" s="21" t="s">
        <v>72</v>
      </c>
      <c r="H367" s="21" t="s">
        <v>73</v>
      </c>
      <c r="I367" s="21" t="s">
        <v>1123</v>
      </c>
      <c r="J367" s="68">
        <f>+MONTH(ExpenseTable[[#This Row],[Voucher Date]])</f>
        <v>4</v>
      </c>
      <c r="K367" s="68" t="s">
        <v>238</v>
      </c>
    </row>
    <row r="368" spans="1:11" x14ac:dyDescent="0.35">
      <c r="A368" s="15">
        <v>45758</v>
      </c>
      <c r="B368" s="11" t="s">
        <v>407</v>
      </c>
      <c r="C368" s="19">
        <v>45751</v>
      </c>
      <c r="D368" s="13" t="s">
        <v>412</v>
      </c>
      <c r="E368" s="12">
        <v>6000</v>
      </c>
      <c r="F368" s="21" t="s">
        <v>30</v>
      </c>
      <c r="G368" s="21" t="s">
        <v>72</v>
      </c>
      <c r="H368" s="21" t="s">
        <v>73</v>
      </c>
      <c r="I368" s="21" t="s">
        <v>1123</v>
      </c>
      <c r="J368" s="68">
        <f>+MONTH(ExpenseTable[[#This Row],[Voucher Date]])</f>
        <v>4</v>
      </c>
      <c r="K368" s="68" t="s">
        <v>238</v>
      </c>
    </row>
    <row r="369" spans="1:11" x14ac:dyDescent="0.35">
      <c r="A369" s="15">
        <v>45759</v>
      </c>
      <c r="B369" s="11" t="s">
        <v>407</v>
      </c>
      <c r="C369" s="19">
        <v>45751</v>
      </c>
      <c r="D369" s="13" t="s">
        <v>410</v>
      </c>
      <c r="E369" s="12">
        <v>19000</v>
      </c>
      <c r="F369" s="21" t="s">
        <v>35</v>
      </c>
      <c r="G369" s="21" t="s">
        <v>72</v>
      </c>
      <c r="H369" s="21" t="s">
        <v>73</v>
      </c>
      <c r="I369" s="21" t="s">
        <v>1123</v>
      </c>
      <c r="J369" s="68">
        <f>+MONTH(ExpenseTable[[#This Row],[Voucher Date]])</f>
        <v>4</v>
      </c>
      <c r="K369" s="68" t="s">
        <v>238</v>
      </c>
    </row>
    <row r="370" spans="1:11" x14ac:dyDescent="0.35">
      <c r="A370" s="15">
        <v>45759</v>
      </c>
      <c r="B370" s="11" t="s">
        <v>407</v>
      </c>
      <c r="C370" s="19">
        <v>45751</v>
      </c>
      <c r="D370" s="13" t="s">
        <v>409</v>
      </c>
      <c r="E370" s="12">
        <v>25000</v>
      </c>
      <c r="F370" s="21" t="s">
        <v>35</v>
      </c>
      <c r="G370" s="21" t="s">
        <v>72</v>
      </c>
      <c r="H370" s="21" t="s">
        <v>73</v>
      </c>
      <c r="I370" s="21" t="s">
        <v>1123</v>
      </c>
      <c r="J370" s="68">
        <f>+MONTH(ExpenseTable[[#This Row],[Voucher Date]])</f>
        <v>4</v>
      </c>
      <c r="K370" s="68" t="s">
        <v>238</v>
      </c>
    </row>
    <row r="371" spans="1:11" x14ac:dyDescent="0.35">
      <c r="A371" s="15">
        <v>45752</v>
      </c>
      <c r="B371" s="11" t="s">
        <v>407</v>
      </c>
      <c r="C371" s="19">
        <v>45751</v>
      </c>
      <c r="D371" s="13" t="s">
        <v>356</v>
      </c>
      <c r="E371" s="12">
        <v>30000</v>
      </c>
      <c r="F371" s="21" t="s">
        <v>22</v>
      </c>
      <c r="G371" s="21" t="s">
        <v>72</v>
      </c>
      <c r="H371" s="21" t="s">
        <v>73</v>
      </c>
      <c r="I371" s="21" t="s">
        <v>1123</v>
      </c>
      <c r="J371" s="68">
        <f>+MONTH(ExpenseTable[[#This Row],[Voucher Date]])</f>
        <v>4</v>
      </c>
      <c r="K371" s="68" t="s">
        <v>238</v>
      </c>
    </row>
    <row r="372" spans="1:11" x14ac:dyDescent="0.35">
      <c r="A372" s="15">
        <v>45759</v>
      </c>
      <c r="B372" s="11" t="s">
        <v>407</v>
      </c>
      <c r="C372" s="19">
        <v>45751</v>
      </c>
      <c r="D372" s="13" t="s">
        <v>408</v>
      </c>
      <c r="E372" s="12">
        <v>30000</v>
      </c>
      <c r="F372" s="21" t="s">
        <v>27</v>
      </c>
      <c r="G372" s="21" t="s">
        <v>72</v>
      </c>
      <c r="H372" s="21" t="s">
        <v>73</v>
      </c>
      <c r="I372" s="21" t="s">
        <v>1123</v>
      </c>
      <c r="J372" s="68">
        <f>+MONTH(ExpenseTable[[#This Row],[Voucher Date]])</f>
        <v>4</v>
      </c>
      <c r="K372" s="68" t="s">
        <v>238</v>
      </c>
    </row>
    <row r="373" spans="1:11" x14ac:dyDescent="0.35">
      <c r="A373" s="15">
        <v>45756</v>
      </c>
      <c r="B373" s="11" t="s">
        <v>407</v>
      </c>
      <c r="C373" s="19">
        <v>45751</v>
      </c>
      <c r="D373" s="13" t="s">
        <v>129</v>
      </c>
      <c r="E373" s="12">
        <v>40000</v>
      </c>
      <c r="F373" s="21" t="s">
        <v>40</v>
      </c>
      <c r="G373" s="21" t="s">
        <v>72</v>
      </c>
      <c r="H373" s="21" t="s">
        <v>73</v>
      </c>
      <c r="I373" s="21" t="s">
        <v>1123</v>
      </c>
      <c r="J373" s="68">
        <f>+MONTH(ExpenseTable[[#This Row],[Voucher Date]])</f>
        <v>4</v>
      </c>
      <c r="K373" s="68" t="s">
        <v>238</v>
      </c>
    </row>
    <row r="374" spans="1:11" x14ac:dyDescent="0.35">
      <c r="A374" s="15">
        <v>45759</v>
      </c>
      <c r="B374" s="11" t="s">
        <v>407</v>
      </c>
      <c r="C374" s="19">
        <v>45751</v>
      </c>
      <c r="D374" s="13" t="s">
        <v>248</v>
      </c>
      <c r="E374" s="12">
        <v>80100</v>
      </c>
      <c r="F374" s="21" t="s">
        <v>35</v>
      </c>
      <c r="G374" s="21" t="s">
        <v>72</v>
      </c>
      <c r="H374" s="21" t="s">
        <v>73</v>
      </c>
      <c r="I374" s="21" t="s">
        <v>1123</v>
      </c>
      <c r="J374" s="68">
        <f>+MONTH(ExpenseTable[[#This Row],[Voucher Date]])</f>
        <v>4</v>
      </c>
      <c r="K374" s="68" t="s">
        <v>238</v>
      </c>
    </row>
    <row r="375" spans="1:11" x14ac:dyDescent="0.35">
      <c r="A375" s="15">
        <v>45758</v>
      </c>
      <c r="B375" s="11" t="s">
        <v>407</v>
      </c>
      <c r="C375" s="19">
        <v>45751</v>
      </c>
      <c r="D375" s="13" t="s">
        <v>411</v>
      </c>
      <c r="E375" s="12">
        <v>200000</v>
      </c>
      <c r="F375" s="21" t="s">
        <v>30</v>
      </c>
      <c r="G375" s="21" t="s">
        <v>72</v>
      </c>
      <c r="H375" s="21" t="s">
        <v>73</v>
      </c>
      <c r="I375" s="21" t="s">
        <v>1123</v>
      </c>
      <c r="J375" s="68">
        <f>+MONTH(ExpenseTable[[#This Row],[Voucher Date]])</f>
        <v>4</v>
      </c>
      <c r="K375" s="68" t="s">
        <v>238</v>
      </c>
    </row>
    <row r="376" spans="1:11" x14ac:dyDescent="0.35">
      <c r="A376" s="15">
        <v>45752</v>
      </c>
      <c r="B376" s="11" t="s">
        <v>413</v>
      </c>
      <c r="C376" s="19">
        <v>45752</v>
      </c>
      <c r="D376" s="13" t="s">
        <v>414</v>
      </c>
      <c r="E376" s="12">
        <v>30000</v>
      </c>
      <c r="F376" s="21" t="s">
        <v>5</v>
      </c>
      <c r="G376" s="21" t="s">
        <v>72</v>
      </c>
      <c r="H376" s="21" t="s">
        <v>73</v>
      </c>
      <c r="I376" s="21" t="s">
        <v>1123</v>
      </c>
      <c r="J376" s="68">
        <f>+MONTH(ExpenseTable[[#This Row],[Voucher Date]])</f>
        <v>4</v>
      </c>
      <c r="K376" s="68" t="s">
        <v>238</v>
      </c>
    </row>
    <row r="377" spans="1:11" x14ac:dyDescent="0.35">
      <c r="A377" s="15">
        <v>45753</v>
      </c>
      <c r="B377" s="11" t="s">
        <v>413</v>
      </c>
      <c r="C377" s="19">
        <v>45752</v>
      </c>
      <c r="D377" s="13" t="s">
        <v>411</v>
      </c>
      <c r="E377" s="12">
        <v>50000</v>
      </c>
      <c r="F377" s="21" t="s">
        <v>30</v>
      </c>
      <c r="G377" s="21" t="s">
        <v>72</v>
      </c>
      <c r="H377" s="21" t="s">
        <v>73</v>
      </c>
      <c r="I377" s="21" t="s">
        <v>1123</v>
      </c>
      <c r="J377" s="68">
        <f>+MONTH(ExpenseTable[[#This Row],[Voucher Date]])</f>
        <v>4</v>
      </c>
      <c r="K377" s="68" t="s">
        <v>238</v>
      </c>
    </row>
    <row r="378" spans="1:11" x14ac:dyDescent="0.35">
      <c r="A378" s="15">
        <v>45752</v>
      </c>
      <c r="B378" s="11" t="s">
        <v>413</v>
      </c>
      <c r="C378" s="19">
        <v>45752</v>
      </c>
      <c r="D378" s="13" t="s">
        <v>129</v>
      </c>
      <c r="E378" s="12">
        <v>60000</v>
      </c>
      <c r="F378" s="21" t="s">
        <v>40</v>
      </c>
      <c r="G378" s="21" t="s">
        <v>72</v>
      </c>
      <c r="H378" s="21" t="s">
        <v>73</v>
      </c>
      <c r="I378" s="21" t="s">
        <v>1123</v>
      </c>
      <c r="J378" s="68">
        <f>+MONTH(ExpenseTable[[#This Row],[Voucher Date]])</f>
        <v>4</v>
      </c>
      <c r="K378" s="68" t="s">
        <v>238</v>
      </c>
    </row>
    <row r="379" spans="1:11" x14ac:dyDescent="0.35">
      <c r="A379" s="15">
        <v>45758</v>
      </c>
      <c r="B379" s="11" t="s">
        <v>415</v>
      </c>
      <c r="C379" s="19">
        <v>45755</v>
      </c>
      <c r="D379" s="13" t="s">
        <v>420</v>
      </c>
      <c r="E379" s="12">
        <v>4000</v>
      </c>
      <c r="F379" s="21" t="s">
        <v>21</v>
      </c>
      <c r="G379" s="21" t="s">
        <v>72</v>
      </c>
      <c r="H379" s="21" t="s">
        <v>73</v>
      </c>
      <c r="I379" s="21" t="s">
        <v>90</v>
      </c>
      <c r="J379" s="68">
        <f>+MONTH(ExpenseTable[[#This Row],[Voucher Date]])</f>
        <v>4</v>
      </c>
      <c r="K379" s="68" t="s">
        <v>238</v>
      </c>
    </row>
    <row r="380" spans="1:11" x14ac:dyDescent="0.35">
      <c r="A380" s="15">
        <v>45758</v>
      </c>
      <c r="B380" s="11" t="s">
        <v>415</v>
      </c>
      <c r="C380" s="19">
        <v>45755</v>
      </c>
      <c r="D380" s="13" t="s">
        <v>288</v>
      </c>
      <c r="E380" s="12">
        <v>10000</v>
      </c>
      <c r="F380" s="21" t="s">
        <v>40</v>
      </c>
      <c r="G380" s="21" t="s">
        <v>72</v>
      </c>
      <c r="H380" s="21" t="s">
        <v>73</v>
      </c>
      <c r="I380" s="21" t="s">
        <v>90</v>
      </c>
      <c r="J380" s="68">
        <f>+MONTH(ExpenseTable[[#This Row],[Voucher Date]])</f>
        <v>4</v>
      </c>
      <c r="K380" s="68" t="s">
        <v>238</v>
      </c>
    </row>
    <row r="381" spans="1:11" x14ac:dyDescent="0.35">
      <c r="A381" s="15">
        <v>45758</v>
      </c>
      <c r="B381" s="11" t="s">
        <v>415</v>
      </c>
      <c r="C381" s="19">
        <v>45755</v>
      </c>
      <c r="D381" s="13" t="s">
        <v>430</v>
      </c>
      <c r="E381" s="12">
        <v>15000</v>
      </c>
      <c r="F381" s="21" t="s">
        <v>23</v>
      </c>
      <c r="G381" s="21" t="s">
        <v>72</v>
      </c>
      <c r="H381" s="21" t="s">
        <v>73</v>
      </c>
      <c r="I381" s="21" t="s">
        <v>90</v>
      </c>
      <c r="J381" s="68">
        <f>+MONTH(ExpenseTable[[#This Row],[Voucher Date]])</f>
        <v>4</v>
      </c>
      <c r="K381" s="68" t="s">
        <v>238</v>
      </c>
    </row>
    <row r="382" spans="1:11" x14ac:dyDescent="0.35">
      <c r="A382" s="15">
        <v>45755</v>
      </c>
      <c r="B382" s="11" t="s">
        <v>415</v>
      </c>
      <c r="C382" s="19">
        <v>45755</v>
      </c>
      <c r="D382" s="13" t="s">
        <v>423</v>
      </c>
      <c r="E382" s="12">
        <v>25000</v>
      </c>
      <c r="F382" s="21" t="s">
        <v>22</v>
      </c>
      <c r="G382" s="21" t="s">
        <v>72</v>
      </c>
      <c r="H382" s="21" t="s">
        <v>73</v>
      </c>
      <c r="I382" s="21" t="s">
        <v>90</v>
      </c>
      <c r="J382" s="68">
        <f>+MONTH(ExpenseTable[[#This Row],[Voucher Date]])</f>
        <v>4</v>
      </c>
      <c r="K382" s="68" t="s">
        <v>238</v>
      </c>
    </row>
    <row r="383" spans="1:11" x14ac:dyDescent="0.35">
      <c r="A383" s="15">
        <v>45758</v>
      </c>
      <c r="B383" s="11" t="s">
        <v>415</v>
      </c>
      <c r="C383" s="19">
        <v>45755</v>
      </c>
      <c r="D383" s="13" t="s">
        <v>429</v>
      </c>
      <c r="E383" s="12">
        <v>101000</v>
      </c>
      <c r="F383" s="21" t="s">
        <v>19</v>
      </c>
      <c r="G383" s="21" t="s">
        <v>72</v>
      </c>
      <c r="H383" s="21" t="s">
        <v>73</v>
      </c>
      <c r="I383" s="21" t="s">
        <v>90</v>
      </c>
      <c r="J383" s="68">
        <f>+MONTH(ExpenseTable[[#This Row],[Voucher Date]])</f>
        <v>4</v>
      </c>
      <c r="K383" s="68" t="s">
        <v>238</v>
      </c>
    </row>
    <row r="384" spans="1:11" x14ac:dyDescent="0.35">
      <c r="A384" s="15">
        <v>45755</v>
      </c>
      <c r="B384" s="11" t="s">
        <v>415</v>
      </c>
      <c r="C384" s="19">
        <v>45755</v>
      </c>
      <c r="D384" s="13" t="s">
        <v>427</v>
      </c>
      <c r="E384" s="12">
        <v>115450</v>
      </c>
      <c r="F384" s="21" t="s">
        <v>27</v>
      </c>
      <c r="G384" s="21" t="s">
        <v>72</v>
      </c>
      <c r="H384" s="21" t="s">
        <v>73</v>
      </c>
      <c r="I384" s="21" t="s">
        <v>90</v>
      </c>
      <c r="J384" s="68">
        <f>+MONTH(ExpenseTable[[#This Row],[Voucher Date]])</f>
        <v>4</v>
      </c>
      <c r="K384" s="68" t="s">
        <v>238</v>
      </c>
    </row>
    <row r="385" spans="1:11" x14ac:dyDescent="0.35">
      <c r="A385" s="15">
        <v>45755</v>
      </c>
      <c r="B385" s="11" t="s">
        <v>415</v>
      </c>
      <c r="C385" s="19">
        <v>45755</v>
      </c>
      <c r="D385" s="13" t="s">
        <v>425</v>
      </c>
      <c r="E385" s="12">
        <v>300000</v>
      </c>
      <c r="F385" s="21" t="s">
        <v>22</v>
      </c>
      <c r="G385" s="21" t="s">
        <v>72</v>
      </c>
      <c r="H385" s="21" t="s">
        <v>73</v>
      </c>
      <c r="I385" s="21" t="s">
        <v>90</v>
      </c>
      <c r="J385" s="68">
        <f>+MONTH(ExpenseTable[[#This Row],[Voucher Date]])</f>
        <v>4</v>
      </c>
      <c r="K385" s="68" t="s">
        <v>238</v>
      </c>
    </row>
    <row r="386" spans="1:11" x14ac:dyDescent="0.35">
      <c r="A386" s="15">
        <v>45758</v>
      </c>
      <c r="B386" s="11" t="s">
        <v>415</v>
      </c>
      <c r="C386" s="19">
        <v>45755</v>
      </c>
      <c r="D386" s="13" t="s">
        <v>426</v>
      </c>
      <c r="E386" s="12">
        <v>480000</v>
      </c>
      <c r="F386" s="21" t="s">
        <v>22</v>
      </c>
      <c r="G386" s="21" t="s">
        <v>72</v>
      </c>
      <c r="H386" s="21" t="s">
        <v>73</v>
      </c>
      <c r="I386" s="21" t="s">
        <v>90</v>
      </c>
      <c r="J386" s="68">
        <f>+MONTH(ExpenseTable[[#This Row],[Voucher Date]])</f>
        <v>4</v>
      </c>
      <c r="K386" s="68" t="s">
        <v>238</v>
      </c>
    </row>
    <row r="387" spans="1:11" x14ac:dyDescent="0.35">
      <c r="A387" s="15">
        <v>45756</v>
      </c>
      <c r="B387" s="11" t="s">
        <v>424</v>
      </c>
      <c r="C387" s="19">
        <v>45755</v>
      </c>
      <c r="D387" s="13" t="s">
        <v>428</v>
      </c>
      <c r="E387" s="12">
        <v>1000</v>
      </c>
      <c r="F387" s="21" t="s">
        <v>19</v>
      </c>
      <c r="G387" s="21" t="s">
        <v>72</v>
      </c>
      <c r="H387" s="21" t="s">
        <v>73</v>
      </c>
      <c r="I387" s="21" t="s">
        <v>90</v>
      </c>
      <c r="J387" s="68">
        <f>+MONTH(ExpenseTable[[#This Row],[Voucher Date]])</f>
        <v>4</v>
      </c>
      <c r="K387" s="68" t="s">
        <v>238</v>
      </c>
    </row>
    <row r="388" spans="1:11" x14ac:dyDescent="0.35">
      <c r="A388" s="15">
        <v>45757</v>
      </c>
      <c r="B388" s="11" t="s">
        <v>424</v>
      </c>
      <c r="C388" s="19">
        <v>45755</v>
      </c>
      <c r="D388" s="13" t="s">
        <v>297</v>
      </c>
      <c r="E388" s="12">
        <v>1000</v>
      </c>
      <c r="F388" s="21" t="s">
        <v>27</v>
      </c>
      <c r="G388" s="21" t="s">
        <v>72</v>
      </c>
      <c r="H388" s="21" t="s">
        <v>73</v>
      </c>
      <c r="I388" s="21" t="s">
        <v>90</v>
      </c>
      <c r="J388" s="68">
        <f>+MONTH(ExpenseTable[[#This Row],[Voucher Date]])</f>
        <v>4</v>
      </c>
      <c r="K388" s="68" t="s">
        <v>238</v>
      </c>
    </row>
    <row r="389" spans="1:11" x14ac:dyDescent="0.35">
      <c r="A389" s="15">
        <v>45755</v>
      </c>
      <c r="B389" s="11" t="s">
        <v>424</v>
      </c>
      <c r="C389" s="19">
        <v>45755</v>
      </c>
      <c r="D389" s="13" t="s">
        <v>431</v>
      </c>
      <c r="E389" s="12">
        <v>10000</v>
      </c>
      <c r="F389" s="21" t="s">
        <v>29</v>
      </c>
      <c r="G389" s="21" t="s">
        <v>72</v>
      </c>
      <c r="H389" s="21" t="s">
        <v>73</v>
      </c>
      <c r="I389" s="21" t="s">
        <v>90</v>
      </c>
      <c r="J389" s="68">
        <f>+MONTH(ExpenseTable[[#This Row],[Voucher Date]])</f>
        <v>4</v>
      </c>
      <c r="K389" s="68" t="s">
        <v>238</v>
      </c>
    </row>
    <row r="390" spans="1:11" x14ac:dyDescent="0.35">
      <c r="A390" s="15">
        <v>45755</v>
      </c>
      <c r="B390" s="11" t="s">
        <v>424</v>
      </c>
      <c r="C390" s="19">
        <v>45755</v>
      </c>
      <c r="D390" s="13" t="s">
        <v>419</v>
      </c>
      <c r="E390" s="12">
        <v>20000</v>
      </c>
      <c r="F390" s="21" t="s">
        <v>54</v>
      </c>
      <c r="G390" s="21" t="s">
        <v>80</v>
      </c>
      <c r="H390" s="21" t="s">
        <v>81</v>
      </c>
      <c r="I390" s="21" t="s">
        <v>90</v>
      </c>
      <c r="J390" s="68">
        <f>+MONTH(ExpenseTable[[#This Row],[Voucher Date]])</f>
        <v>4</v>
      </c>
      <c r="K390" s="68" t="s">
        <v>238</v>
      </c>
    </row>
    <row r="391" spans="1:11" x14ac:dyDescent="0.35">
      <c r="A391" s="15">
        <v>45756</v>
      </c>
      <c r="B391" s="11" t="s">
        <v>424</v>
      </c>
      <c r="C391" s="19">
        <v>45755</v>
      </c>
      <c r="D391" s="13" t="s">
        <v>133</v>
      </c>
      <c r="E391" s="12">
        <v>27900</v>
      </c>
      <c r="F391" s="21" t="s">
        <v>32</v>
      </c>
      <c r="G391" s="21" t="s">
        <v>72</v>
      </c>
      <c r="H391" s="21" t="s">
        <v>73</v>
      </c>
      <c r="I391" s="21" t="s">
        <v>90</v>
      </c>
      <c r="J391" s="68">
        <f>+MONTH(ExpenseTable[[#This Row],[Voucher Date]])</f>
        <v>4</v>
      </c>
      <c r="K391" s="68" t="s">
        <v>238</v>
      </c>
    </row>
    <row r="392" spans="1:11" x14ac:dyDescent="0.35">
      <c r="A392" s="15">
        <v>45755</v>
      </c>
      <c r="B392" s="11" t="s">
        <v>424</v>
      </c>
      <c r="C392" s="19">
        <v>45755</v>
      </c>
      <c r="D392" s="13" t="s">
        <v>418</v>
      </c>
      <c r="E392" s="12">
        <v>30000</v>
      </c>
      <c r="F392" s="21" t="s">
        <v>54</v>
      </c>
      <c r="G392" s="21" t="s">
        <v>80</v>
      </c>
      <c r="H392" s="21" t="s">
        <v>81</v>
      </c>
      <c r="I392" s="21" t="s">
        <v>90</v>
      </c>
      <c r="J392" s="68">
        <f>+MONTH(ExpenseTable[[#This Row],[Voucher Date]])</f>
        <v>4</v>
      </c>
      <c r="K392" s="68" t="s">
        <v>238</v>
      </c>
    </row>
    <row r="393" spans="1:11" x14ac:dyDescent="0.35">
      <c r="A393" s="15">
        <v>45755</v>
      </c>
      <c r="B393" s="11" t="s">
        <v>424</v>
      </c>
      <c r="C393" s="19">
        <v>45755</v>
      </c>
      <c r="D393" s="13" t="s">
        <v>422</v>
      </c>
      <c r="E393" s="12">
        <v>370000</v>
      </c>
      <c r="F393" s="21" t="s">
        <v>5</v>
      </c>
      <c r="G393" s="21" t="s">
        <v>72</v>
      </c>
      <c r="H393" s="21" t="s">
        <v>73</v>
      </c>
      <c r="I393" s="21" t="s">
        <v>90</v>
      </c>
      <c r="J393" s="68">
        <f>+MONTH(ExpenseTable[[#This Row],[Voucher Date]])</f>
        <v>4</v>
      </c>
      <c r="K393" s="68" t="s">
        <v>238</v>
      </c>
    </row>
    <row r="394" spans="1:11" x14ac:dyDescent="0.35">
      <c r="A394" s="15">
        <v>45755</v>
      </c>
      <c r="B394" s="11" t="s">
        <v>857</v>
      </c>
      <c r="C394" s="19">
        <v>45755</v>
      </c>
      <c r="D394" s="76" t="s">
        <v>416</v>
      </c>
      <c r="E394" s="12">
        <v>165000</v>
      </c>
      <c r="F394" s="21" t="s">
        <v>54</v>
      </c>
      <c r="G394" s="21" t="s">
        <v>72</v>
      </c>
      <c r="H394" s="21" t="s">
        <v>73</v>
      </c>
      <c r="I394" s="21" t="s">
        <v>91</v>
      </c>
      <c r="J394" s="68">
        <f>+MONTH(ExpenseTable[[#This Row],[Voucher Date]])</f>
        <v>4</v>
      </c>
      <c r="K394" s="68" t="s">
        <v>238</v>
      </c>
    </row>
    <row r="395" spans="1:11" x14ac:dyDescent="0.35">
      <c r="A395" s="15">
        <v>45755</v>
      </c>
      <c r="B395" s="11" t="s">
        <v>857</v>
      </c>
      <c r="C395" s="19">
        <v>45755</v>
      </c>
      <c r="D395" s="13" t="s">
        <v>421</v>
      </c>
      <c r="E395" s="12">
        <v>240000</v>
      </c>
      <c r="F395" s="21" t="s">
        <v>5</v>
      </c>
      <c r="G395" s="21" t="s">
        <v>72</v>
      </c>
      <c r="H395" s="21" t="s">
        <v>73</v>
      </c>
      <c r="I395" s="21" t="s">
        <v>91</v>
      </c>
      <c r="J395" s="68">
        <f>+MONTH(ExpenseTable[[#This Row],[Voucher Date]])</f>
        <v>4</v>
      </c>
      <c r="K395" s="68" t="s">
        <v>238</v>
      </c>
    </row>
    <row r="396" spans="1:11" x14ac:dyDescent="0.35">
      <c r="A396" s="15">
        <v>45755</v>
      </c>
      <c r="B396" s="11" t="s">
        <v>857</v>
      </c>
      <c r="C396" s="19">
        <v>45755</v>
      </c>
      <c r="D396" s="13" t="s">
        <v>417</v>
      </c>
      <c r="E396" s="12">
        <v>1224000</v>
      </c>
      <c r="F396" s="21" t="s">
        <v>54</v>
      </c>
      <c r="G396" s="21" t="s">
        <v>72</v>
      </c>
      <c r="H396" s="21" t="s">
        <v>73</v>
      </c>
      <c r="I396" s="21" t="s">
        <v>91</v>
      </c>
      <c r="J396" s="68">
        <f>+MONTH(ExpenseTable[[#This Row],[Voucher Date]])</f>
        <v>4</v>
      </c>
      <c r="K396" s="68" t="s">
        <v>238</v>
      </c>
    </row>
    <row r="397" spans="1:11" x14ac:dyDescent="0.35">
      <c r="A397" s="15">
        <v>45758</v>
      </c>
      <c r="B397" s="11" t="s">
        <v>432</v>
      </c>
      <c r="C397" s="19">
        <v>45758</v>
      </c>
      <c r="D397" s="13" t="s">
        <v>438</v>
      </c>
      <c r="E397" s="12">
        <v>2000</v>
      </c>
      <c r="F397" s="21" t="s">
        <v>27</v>
      </c>
      <c r="G397" s="21" t="s">
        <v>72</v>
      </c>
      <c r="H397" s="21" t="s">
        <v>73</v>
      </c>
      <c r="I397" s="21" t="s">
        <v>90</v>
      </c>
      <c r="J397" s="68">
        <f>+MONTH(ExpenseTable[[#This Row],[Voucher Date]])</f>
        <v>4</v>
      </c>
      <c r="K397" s="68" t="s">
        <v>238</v>
      </c>
    </row>
    <row r="398" spans="1:11" x14ac:dyDescent="0.35">
      <c r="A398" s="15">
        <v>45758</v>
      </c>
      <c r="B398" s="11" t="s">
        <v>432</v>
      </c>
      <c r="C398" s="19">
        <v>45758</v>
      </c>
      <c r="D398" s="13" t="s">
        <v>288</v>
      </c>
      <c r="E398" s="12">
        <v>4600</v>
      </c>
      <c r="F398" s="21" t="s">
        <v>40</v>
      </c>
      <c r="G398" s="21" t="s">
        <v>72</v>
      </c>
      <c r="H398" s="21" t="s">
        <v>73</v>
      </c>
      <c r="I398" s="21" t="s">
        <v>90</v>
      </c>
      <c r="J398" s="68">
        <f>+MONTH(ExpenseTable[[#This Row],[Voucher Date]])</f>
        <v>4</v>
      </c>
      <c r="K398" s="68" t="s">
        <v>238</v>
      </c>
    </row>
    <row r="399" spans="1:11" x14ac:dyDescent="0.35">
      <c r="A399" s="15">
        <v>45758</v>
      </c>
      <c r="B399" s="11" t="s">
        <v>432</v>
      </c>
      <c r="C399" s="19">
        <v>45758</v>
      </c>
      <c r="D399" s="13" t="s">
        <v>440</v>
      </c>
      <c r="E399" s="12">
        <v>6500</v>
      </c>
      <c r="F399" s="21" t="s">
        <v>27</v>
      </c>
      <c r="G399" s="21" t="s">
        <v>72</v>
      </c>
      <c r="H399" s="21" t="s">
        <v>73</v>
      </c>
      <c r="I399" s="21" t="s">
        <v>90</v>
      </c>
      <c r="J399" s="68">
        <f>+MONTH(ExpenseTable[[#This Row],[Voucher Date]])</f>
        <v>4</v>
      </c>
      <c r="K399" s="68" t="s">
        <v>238</v>
      </c>
    </row>
    <row r="400" spans="1:11" x14ac:dyDescent="0.35">
      <c r="A400" s="15">
        <v>45758</v>
      </c>
      <c r="B400" s="11" t="s">
        <v>432</v>
      </c>
      <c r="C400" s="19">
        <v>45758</v>
      </c>
      <c r="D400" s="13" t="s">
        <v>434</v>
      </c>
      <c r="E400" s="12">
        <v>8000</v>
      </c>
      <c r="F400" s="21" t="s">
        <v>5</v>
      </c>
      <c r="G400" s="21" t="s">
        <v>72</v>
      </c>
      <c r="H400" s="21" t="s">
        <v>73</v>
      </c>
      <c r="I400" s="21" t="s">
        <v>90</v>
      </c>
      <c r="J400" s="68">
        <f>+MONTH(ExpenseTable[[#This Row],[Voucher Date]])</f>
        <v>4</v>
      </c>
      <c r="K400" s="68" t="s">
        <v>238</v>
      </c>
    </row>
    <row r="401" spans="1:11" x14ac:dyDescent="0.35">
      <c r="A401" s="15">
        <v>45758</v>
      </c>
      <c r="B401" s="11" t="s">
        <v>432</v>
      </c>
      <c r="C401" s="19">
        <v>45758</v>
      </c>
      <c r="D401" s="13" t="s">
        <v>437</v>
      </c>
      <c r="E401" s="12">
        <v>14000</v>
      </c>
      <c r="F401" s="21" t="s">
        <v>5</v>
      </c>
      <c r="G401" s="21" t="s">
        <v>72</v>
      </c>
      <c r="H401" s="21" t="s">
        <v>73</v>
      </c>
      <c r="I401" s="21" t="s">
        <v>90</v>
      </c>
      <c r="J401" s="68">
        <f>+MONTH(ExpenseTable[[#This Row],[Voucher Date]])</f>
        <v>4</v>
      </c>
      <c r="K401" s="68" t="s">
        <v>238</v>
      </c>
    </row>
    <row r="402" spans="1:11" x14ac:dyDescent="0.35">
      <c r="A402" s="15">
        <v>45758</v>
      </c>
      <c r="B402" s="11" t="s">
        <v>432</v>
      </c>
      <c r="C402" s="19">
        <v>45758</v>
      </c>
      <c r="D402" s="13" t="s">
        <v>435</v>
      </c>
      <c r="E402" s="12">
        <v>21000</v>
      </c>
      <c r="F402" s="21" t="s">
        <v>5</v>
      </c>
      <c r="G402" s="21" t="s">
        <v>72</v>
      </c>
      <c r="H402" s="21" t="s">
        <v>73</v>
      </c>
      <c r="I402" s="21" t="s">
        <v>90</v>
      </c>
      <c r="J402" s="68">
        <f>+MONTH(ExpenseTable[[#This Row],[Voucher Date]])</f>
        <v>4</v>
      </c>
      <c r="K402" s="68" t="s">
        <v>238</v>
      </c>
    </row>
    <row r="403" spans="1:11" x14ac:dyDescent="0.35">
      <c r="A403" s="15">
        <v>45758</v>
      </c>
      <c r="B403" s="11" t="s">
        <v>432</v>
      </c>
      <c r="C403" s="19">
        <v>45758</v>
      </c>
      <c r="D403" s="13" t="s">
        <v>436</v>
      </c>
      <c r="E403" s="12">
        <v>33000</v>
      </c>
      <c r="F403" s="21" t="s">
        <v>5</v>
      </c>
      <c r="G403" s="21" t="s">
        <v>72</v>
      </c>
      <c r="H403" s="21" t="s">
        <v>73</v>
      </c>
      <c r="I403" s="21" t="s">
        <v>90</v>
      </c>
      <c r="J403" s="68">
        <f>+MONTH(ExpenseTable[[#This Row],[Voucher Date]])</f>
        <v>4</v>
      </c>
      <c r="K403" s="68" t="s">
        <v>238</v>
      </c>
    </row>
    <row r="404" spans="1:11" x14ac:dyDescent="0.35">
      <c r="A404" s="15">
        <v>45761</v>
      </c>
      <c r="B404" s="11" t="s">
        <v>858</v>
      </c>
      <c r="C404" s="19">
        <v>45758</v>
      </c>
      <c r="D404" s="13" t="s">
        <v>270</v>
      </c>
      <c r="E404" s="12">
        <v>300</v>
      </c>
      <c r="F404" s="21" t="s">
        <v>21</v>
      </c>
      <c r="G404" s="21" t="s">
        <v>72</v>
      </c>
      <c r="H404" s="21" t="s">
        <v>73</v>
      </c>
      <c r="I404" s="21" t="s">
        <v>90</v>
      </c>
      <c r="J404" s="68">
        <f>+MONTH(ExpenseTable[[#This Row],[Voucher Date]])</f>
        <v>4</v>
      </c>
      <c r="K404" s="68" t="s">
        <v>238</v>
      </c>
    </row>
    <row r="405" spans="1:11" x14ac:dyDescent="0.35">
      <c r="A405" s="15">
        <v>45761</v>
      </c>
      <c r="B405" s="11" t="s">
        <v>858</v>
      </c>
      <c r="C405" s="19">
        <v>45758</v>
      </c>
      <c r="D405" s="13" t="s">
        <v>393</v>
      </c>
      <c r="E405" s="12">
        <v>5200</v>
      </c>
      <c r="F405" s="21" t="s">
        <v>37</v>
      </c>
      <c r="G405" s="21" t="s">
        <v>72</v>
      </c>
      <c r="H405" s="21" t="s">
        <v>73</v>
      </c>
      <c r="I405" s="21" t="s">
        <v>90</v>
      </c>
      <c r="J405" s="68">
        <f>+MONTH(ExpenseTable[[#This Row],[Voucher Date]])</f>
        <v>4</v>
      </c>
      <c r="K405" s="68" t="s">
        <v>238</v>
      </c>
    </row>
    <row r="406" spans="1:11" x14ac:dyDescent="0.35">
      <c r="A406" s="15">
        <v>45758</v>
      </c>
      <c r="B406" s="11" t="s">
        <v>858</v>
      </c>
      <c r="C406" s="19">
        <v>45758</v>
      </c>
      <c r="D406" s="13" t="s">
        <v>433</v>
      </c>
      <c r="E406" s="12">
        <v>10000</v>
      </c>
      <c r="F406" s="21" t="s">
        <v>54</v>
      </c>
      <c r="G406" s="21" t="s">
        <v>72</v>
      </c>
      <c r="H406" s="21" t="s">
        <v>73</v>
      </c>
      <c r="I406" s="21" t="s">
        <v>90</v>
      </c>
      <c r="J406" s="68">
        <f>+MONTH(ExpenseTable[[#This Row],[Voucher Date]])</f>
        <v>4</v>
      </c>
      <c r="K406" s="68" t="s">
        <v>238</v>
      </c>
    </row>
    <row r="407" spans="1:11" x14ac:dyDescent="0.35">
      <c r="A407" s="15">
        <v>45761</v>
      </c>
      <c r="B407" s="11" t="s">
        <v>858</v>
      </c>
      <c r="C407" s="19">
        <v>45758</v>
      </c>
      <c r="D407" s="13" t="s">
        <v>302</v>
      </c>
      <c r="E407" s="12">
        <v>11000</v>
      </c>
      <c r="F407" s="21" t="s">
        <v>23</v>
      </c>
      <c r="G407" s="21" t="s">
        <v>72</v>
      </c>
      <c r="H407" s="21" t="s">
        <v>73</v>
      </c>
      <c r="I407" s="21" t="s">
        <v>90</v>
      </c>
      <c r="J407" s="68">
        <f>+MONTH(ExpenseTable[[#This Row],[Voucher Date]])</f>
        <v>4</v>
      </c>
      <c r="K407" s="68" t="s">
        <v>238</v>
      </c>
    </row>
    <row r="408" spans="1:11" x14ac:dyDescent="0.35">
      <c r="A408" s="15">
        <v>45761</v>
      </c>
      <c r="B408" s="11" t="s">
        <v>858</v>
      </c>
      <c r="C408" s="19">
        <v>45758</v>
      </c>
      <c r="D408" s="13" t="s">
        <v>224</v>
      </c>
      <c r="E408" s="12">
        <v>27600</v>
      </c>
      <c r="F408" s="21" t="s">
        <v>32</v>
      </c>
      <c r="G408" s="21" t="s">
        <v>72</v>
      </c>
      <c r="H408" s="21" t="s">
        <v>73</v>
      </c>
      <c r="I408" s="21" t="s">
        <v>90</v>
      </c>
      <c r="J408" s="68">
        <f>+MONTH(ExpenseTable[[#This Row],[Voucher Date]])</f>
        <v>4</v>
      </c>
      <c r="K408" s="68" t="s">
        <v>238</v>
      </c>
    </row>
    <row r="409" spans="1:11" x14ac:dyDescent="0.35">
      <c r="A409" s="15">
        <v>45761</v>
      </c>
      <c r="B409" s="11" t="s">
        <v>858</v>
      </c>
      <c r="C409" s="19">
        <v>45758</v>
      </c>
      <c r="D409" s="13" t="s">
        <v>129</v>
      </c>
      <c r="E409" s="12">
        <v>42900</v>
      </c>
      <c r="F409" s="21" t="s">
        <v>40</v>
      </c>
      <c r="G409" s="21" t="s">
        <v>72</v>
      </c>
      <c r="H409" s="21" t="s">
        <v>73</v>
      </c>
      <c r="I409" s="21" t="s">
        <v>90</v>
      </c>
      <c r="J409" s="68">
        <f>+MONTH(ExpenseTable[[#This Row],[Voucher Date]])</f>
        <v>4</v>
      </c>
      <c r="K409" s="68" t="s">
        <v>238</v>
      </c>
    </row>
    <row r="410" spans="1:11" x14ac:dyDescent="0.35">
      <c r="A410" s="15">
        <v>45758</v>
      </c>
      <c r="B410" s="11" t="s">
        <v>858</v>
      </c>
      <c r="C410" s="19">
        <v>45758</v>
      </c>
      <c r="D410" s="13" t="s">
        <v>441</v>
      </c>
      <c r="E410" s="12">
        <v>215000</v>
      </c>
      <c r="F410" s="21" t="s">
        <v>55</v>
      </c>
      <c r="G410" s="21" t="s">
        <v>72</v>
      </c>
      <c r="H410" s="21" t="s">
        <v>73</v>
      </c>
      <c r="I410" s="21" t="s">
        <v>90</v>
      </c>
      <c r="J410" s="68">
        <f>+MONTH(ExpenseTable[[#This Row],[Voucher Date]])</f>
        <v>4</v>
      </c>
      <c r="K410" s="68" t="s">
        <v>238</v>
      </c>
    </row>
    <row r="411" spans="1:11" x14ac:dyDescent="0.35">
      <c r="A411" s="15">
        <v>45758</v>
      </c>
      <c r="B411" s="11" t="s">
        <v>858</v>
      </c>
      <c r="C411" s="19">
        <v>45758</v>
      </c>
      <c r="D411" s="13" t="s">
        <v>439</v>
      </c>
      <c r="E411" s="12">
        <v>1025000</v>
      </c>
      <c r="F411" s="21" t="s">
        <v>27</v>
      </c>
      <c r="G411" s="21" t="s">
        <v>72</v>
      </c>
      <c r="H411" s="21" t="s">
        <v>73</v>
      </c>
      <c r="I411" s="21" t="s">
        <v>90</v>
      </c>
      <c r="J411" s="68">
        <f>+MONTH(ExpenseTable[[#This Row],[Voucher Date]])</f>
        <v>4</v>
      </c>
      <c r="K411" s="68" t="s">
        <v>238</v>
      </c>
    </row>
    <row r="412" spans="1:11" x14ac:dyDescent="0.35">
      <c r="A412" s="15">
        <v>45761</v>
      </c>
      <c r="B412" s="11" t="s">
        <v>442</v>
      </c>
      <c r="C412" s="19">
        <v>45759</v>
      </c>
      <c r="D412" s="13" t="s">
        <v>447</v>
      </c>
      <c r="E412" s="12">
        <v>4000</v>
      </c>
      <c r="F412" s="21" t="s">
        <v>35</v>
      </c>
      <c r="G412" s="21" t="s">
        <v>72</v>
      </c>
      <c r="H412" s="21" t="s">
        <v>73</v>
      </c>
      <c r="I412" s="21" t="s">
        <v>1123</v>
      </c>
      <c r="J412" s="68">
        <f>+MONTH(ExpenseTable[[#This Row],[Voucher Date]])</f>
        <v>4</v>
      </c>
      <c r="K412" s="68" t="s">
        <v>238</v>
      </c>
    </row>
    <row r="413" spans="1:11" x14ac:dyDescent="0.35">
      <c r="A413" s="15">
        <v>45765</v>
      </c>
      <c r="B413" s="11" t="s">
        <v>442</v>
      </c>
      <c r="C413" s="19">
        <v>45759</v>
      </c>
      <c r="D413" s="13" t="s">
        <v>157</v>
      </c>
      <c r="E413" s="12">
        <v>4000</v>
      </c>
      <c r="F413" s="21" t="s">
        <v>54</v>
      </c>
      <c r="G413" s="21" t="s">
        <v>67</v>
      </c>
      <c r="H413" s="21" t="s">
        <v>79</v>
      </c>
      <c r="I413" s="21" t="s">
        <v>1123</v>
      </c>
      <c r="J413" s="68">
        <f>+MONTH(ExpenseTable[[#This Row],[Voucher Date]])</f>
        <v>4</v>
      </c>
      <c r="K413" s="68" t="s">
        <v>238</v>
      </c>
    </row>
    <row r="414" spans="1:11" x14ac:dyDescent="0.35">
      <c r="A414" s="15">
        <v>45764</v>
      </c>
      <c r="B414" s="11" t="s">
        <v>442</v>
      </c>
      <c r="C414" s="19">
        <v>45759</v>
      </c>
      <c r="D414" s="13" t="s">
        <v>443</v>
      </c>
      <c r="E414" s="12">
        <v>5000</v>
      </c>
      <c r="F414" s="21" t="s">
        <v>54</v>
      </c>
      <c r="G414" s="21" t="s">
        <v>72</v>
      </c>
      <c r="H414" s="21" t="s">
        <v>73</v>
      </c>
      <c r="I414" s="21" t="s">
        <v>1123</v>
      </c>
      <c r="J414" s="68">
        <f>+MONTH(ExpenseTable[[#This Row],[Voucher Date]])</f>
        <v>4</v>
      </c>
      <c r="K414" s="68" t="s">
        <v>238</v>
      </c>
    </row>
    <row r="415" spans="1:11" x14ac:dyDescent="0.35">
      <c r="A415" s="15">
        <v>45759</v>
      </c>
      <c r="B415" s="11" t="s">
        <v>442</v>
      </c>
      <c r="C415" s="19">
        <v>45759</v>
      </c>
      <c r="D415" s="13" t="s">
        <v>446</v>
      </c>
      <c r="E415" s="12">
        <v>15000</v>
      </c>
      <c r="F415" s="21" t="s">
        <v>35</v>
      </c>
      <c r="G415" s="21" t="s">
        <v>72</v>
      </c>
      <c r="H415" s="21" t="s">
        <v>73</v>
      </c>
      <c r="I415" s="21" t="s">
        <v>1123</v>
      </c>
      <c r="J415" s="68">
        <f>+MONTH(ExpenseTable[[#This Row],[Voucher Date]])</f>
        <v>4</v>
      </c>
      <c r="K415" s="68" t="s">
        <v>238</v>
      </c>
    </row>
    <row r="416" spans="1:11" x14ac:dyDescent="0.35">
      <c r="A416" s="15">
        <v>45759</v>
      </c>
      <c r="B416" s="11" t="s">
        <v>442</v>
      </c>
      <c r="C416" s="19">
        <v>45759</v>
      </c>
      <c r="D416" s="13" t="s">
        <v>444</v>
      </c>
      <c r="E416" s="12">
        <v>25000</v>
      </c>
      <c r="F416" s="21" t="s">
        <v>33</v>
      </c>
      <c r="G416" s="21" t="s">
        <v>72</v>
      </c>
      <c r="H416" s="21" t="s">
        <v>73</v>
      </c>
      <c r="I416" s="21" t="s">
        <v>1123</v>
      </c>
      <c r="J416" s="68">
        <f>+MONTH(ExpenseTable[[#This Row],[Voucher Date]])</f>
        <v>4</v>
      </c>
      <c r="K416" s="68" t="s">
        <v>238</v>
      </c>
    </row>
    <row r="417" spans="1:11" x14ac:dyDescent="0.35">
      <c r="A417" s="15">
        <v>45762</v>
      </c>
      <c r="B417" s="11" t="s">
        <v>442</v>
      </c>
      <c r="C417" s="19">
        <v>45759</v>
      </c>
      <c r="D417" s="13" t="s">
        <v>448</v>
      </c>
      <c r="E417" s="12">
        <v>40000</v>
      </c>
      <c r="F417" s="21" t="s">
        <v>30</v>
      </c>
      <c r="G417" s="21" t="s">
        <v>72</v>
      </c>
      <c r="H417" s="21" t="s">
        <v>73</v>
      </c>
      <c r="I417" s="21" t="s">
        <v>1123</v>
      </c>
      <c r="J417" s="68">
        <f>+MONTH(ExpenseTable[[#This Row],[Voucher Date]])</f>
        <v>4</v>
      </c>
      <c r="K417" s="68" t="s">
        <v>238</v>
      </c>
    </row>
    <row r="418" spans="1:11" x14ac:dyDescent="0.35">
      <c r="A418" s="15">
        <v>45759</v>
      </c>
      <c r="B418" s="11" t="s">
        <v>442</v>
      </c>
      <c r="C418" s="19">
        <v>45759</v>
      </c>
      <c r="D418" s="13" t="s">
        <v>445</v>
      </c>
      <c r="E418" s="12">
        <v>80000</v>
      </c>
      <c r="F418" s="21" t="s">
        <v>22</v>
      </c>
      <c r="G418" s="21" t="s">
        <v>72</v>
      </c>
      <c r="H418" s="21" t="s">
        <v>73</v>
      </c>
      <c r="I418" s="21" t="s">
        <v>1123</v>
      </c>
      <c r="J418" s="68">
        <f>+MONTH(ExpenseTable[[#This Row],[Voucher Date]])</f>
        <v>4</v>
      </c>
      <c r="K418" s="68" t="s">
        <v>238</v>
      </c>
    </row>
    <row r="419" spans="1:11" x14ac:dyDescent="0.35">
      <c r="A419" s="15">
        <v>45764</v>
      </c>
      <c r="B419" s="11" t="s">
        <v>442</v>
      </c>
      <c r="C419" s="19">
        <v>45759</v>
      </c>
      <c r="D419" s="13" t="s">
        <v>449</v>
      </c>
      <c r="E419" s="12">
        <v>80000</v>
      </c>
      <c r="F419" s="21" t="s">
        <v>55</v>
      </c>
      <c r="G419" s="21" t="s">
        <v>72</v>
      </c>
      <c r="H419" s="21" t="s">
        <v>73</v>
      </c>
      <c r="I419" s="21" t="s">
        <v>1123</v>
      </c>
      <c r="J419" s="68">
        <f>+MONTH(ExpenseTable[[#This Row],[Voucher Date]])</f>
        <v>4</v>
      </c>
      <c r="K419" s="68" t="s">
        <v>238</v>
      </c>
    </row>
    <row r="420" spans="1:11" x14ac:dyDescent="0.35">
      <c r="A420" s="15">
        <v>45764</v>
      </c>
      <c r="B420" s="11" t="s">
        <v>450</v>
      </c>
      <c r="C420" s="19">
        <v>45760</v>
      </c>
      <c r="D420" s="13" t="s">
        <v>452</v>
      </c>
      <c r="E420" s="12">
        <v>5000</v>
      </c>
      <c r="F420" s="21" t="s">
        <v>22</v>
      </c>
      <c r="G420" s="21" t="s">
        <v>72</v>
      </c>
      <c r="H420" s="21" t="s">
        <v>73</v>
      </c>
      <c r="I420" s="21" t="s">
        <v>90</v>
      </c>
      <c r="J420" s="68">
        <f>+MONTH(ExpenseTable[[#This Row],[Voucher Date]])</f>
        <v>4</v>
      </c>
      <c r="K420" s="68" t="s">
        <v>238</v>
      </c>
    </row>
    <row r="421" spans="1:11" x14ac:dyDescent="0.35">
      <c r="A421" s="15">
        <v>45771</v>
      </c>
      <c r="B421" s="11" t="s">
        <v>450</v>
      </c>
      <c r="C421" s="19">
        <v>45760</v>
      </c>
      <c r="D421" s="13" t="s">
        <v>288</v>
      </c>
      <c r="E421" s="12">
        <v>10000</v>
      </c>
      <c r="F421" s="21" t="s">
        <v>40</v>
      </c>
      <c r="G421" s="21" t="s">
        <v>72</v>
      </c>
      <c r="H421" s="21" t="s">
        <v>73</v>
      </c>
      <c r="I421" s="21" t="s">
        <v>90</v>
      </c>
      <c r="J421" s="68">
        <f>+MONTH(ExpenseTable[[#This Row],[Voucher Date]])</f>
        <v>4</v>
      </c>
      <c r="K421" s="68" t="s">
        <v>238</v>
      </c>
    </row>
    <row r="422" spans="1:11" x14ac:dyDescent="0.35">
      <c r="A422" s="15">
        <v>45777</v>
      </c>
      <c r="B422" s="11" t="s">
        <v>450</v>
      </c>
      <c r="C422" s="19">
        <v>45760</v>
      </c>
      <c r="D422" s="13" t="s">
        <v>455</v>
      </c>
      <c r="E422" s="12">
        <v>10000</v>
      </c>
      <c r="F422" s="21" t="s">
        <v>30</v>
      </c>
      <c r="G422" s="21" t="s">
        <v>72</v>
      </c>
      <c r="H422" s="21" t="s">
        <v>73</v>
      </c>
      <c r="I422" s="21" t="s">
        <v>90</v>
      </c>
      <c r="J422" s="68">
        <f>+MONTH(ExpenseTable[[#This Row],[Voucher Date]])</f>
        <v>4</v>
      </c>
      <c r="K422" s="68" t="s">
        <v>238</v>
      </c>
    </row>
    <row r="423" spans="1:11" x14ac:dyDescent="0.35">
      <c r="A423" s="15">
        <v>45750</v>
      </c>
      <c r="B423" s="11" t="s">
        <v>450</v>
      </c>
      <c r="C423" s="19">
        <v>45760</v>
      </c>
      <c r="D423" s="13" t="s">
        <v>456</v>
      </c>
      <c r="E423" s="12">
        <v>20000</v>
      </c>
      <c r="F423" s="21" t="s">
        <v>57</v>
      </c>
      <c r="G423" s="21" t="s">
        <v>72</v>
      </c>
      <c r="H423" s="21" t="s">
        <v>73</v>
      </c>
      <c r="I423" s="21" t="s">
        <v>90</v>
      </c>
      <c r="J423" s="68">
        <f>+MONTH(ExpenseTable[[#This Row],[Voucher Date]])</f>
        <v>4</v>
      </c>
      <c r="K423" s="68" t="s">
        <v>238</v>
      </c>
    </row>
    <row r="424" spans="1:11" x14ac:dyDescent="0.35">
      <c r="A424" s="15">
        <v>45768</v>
      </c>
      <c r="B424" s="11" t="s">
        <v>450</v>
      </c>
      <c r="C424" s="19">
        <v>45760</v>
      </c>
      <c r="D424" s="13" t="s">
        <v>453</v>
      </c>
      <c r="E424" s="12">
        <v>20000</v>
      </c>
      <c r="F424" s="21" t="s">
        <v>22</v>
      </c>
      <c r="G424" s="21" t="s">
        <v>72</v>
      </c>
      <c r="H424" s="21" t="s">
        <v>73</v>
      </c>
      <c r="I424" s="21" t="s">
        <v>90</v>
      </c>
      <c r="J424" s="68">
        <f>+MONTH(ExpenseTable[[#This Row],[Voucher Date]])</f>
        <v>4</v>
      </c>
      <c r="K424" s="68" t="s">
        <v>238</v>
      </c>
    </row>
    <row r="425" spans="1:11" x14ac:dyDescent="0.35">
      <c r="A425" s="15">
        <v>45772</v>
      </c>
      <c r="B425" s="11" t="s">
        <v>450</v>
      </c>
      <c r="C425" s="19">
        <v>45760</v>
      </c>
      <c r="D425" s="13" t="s">
        <v>452</v>
      </c>
      <c r="E425" s="12">
        <v>40000</v>
      </c>
      <c r="F425" s="21" t="s">
        <v>22</v>
      </c>
      <c r="G425" s="21" t="s">
        <v>72</v>
      </c>
      <c r="H425" s="21" t="s">
        <v>73</v>
      </c>
      <c r="I425" s="21" t="s">
        <v>90</v>
      </c>
      <c r="J425" s="68">
        <f>+MONTH(ExpenseTable[[#This Row],[Voucher Date]])</f>
        <v>4</v>
      </c>
      <c r="K425" s="68" t="s">
        <v>238</v>
      </c>
    </row>
    <row r="426" spans="1:11" x14ac:dyDescent="0.35">
      <c r="A426" s="15">
        <v>45760</v>
      </c>
      <c r="B426" s="11" t="s">
        <v>450</v>
      </c>
      <c r="C426" s="19">
        <v>45760</v>
      </c>
      <c r="D426" s="13" t="s">
        <v>454</v>
      </c>
      <c r="E426" s="12">
        <v>70000</v>
      </c>
      <c r="F426" s="21" t="s">
        <v>19</v>
      </c>
      <c r="G426" s="21" t="s">
        <v>80</v>
      </c>
      <c r="H426" s="21" t="s">
        <v>81</v>
      </c>
      <c r="I426" s="21" t="s">
        <v>90</v>
      </c>
      <c r="J426" s="68">
        <f>+MONTH(ExpenseTable[[#This Row],[Voucher Date]])</f>
        <v>4</v>
      </c>
      <c r="K426" s="68" t="s">
        <v>238</v>
      </c>
    </row>
    <row r="427" spans="1:11" x14ac:dyDescent="0.35">
      <c r="A427" s="15">
        <v>45777</v>
      </c>
      <c r="B427" s="11" t="s">
        <v>450</v>
      </c>
      <c r="C427" s="19">
        <v>45760</v>
      </c>
      <c r="D427" s="13" t="s">
        <v>451</v>
      </c>
      <c r="E427" s="12">
        <v>80000</v>
      </c>
      <c r="F427" s="21" t="s">
        <v>20</v>
      </c>
      <c r="G427" s="21" t="s">
        <v>72</v>
      </c>
      <c r="H427" s="21" t="s">
        <v>73</v>
      </c>
      <c r="I427" s="21" t="s">
        <v>90</v>
      </c>
      <c r="J427" s="68">
        <f>+MONTH(ExpenseTable[[#This Row],[Voucher Date]])</f>
        <v>4</v>
      </c>
      <c r="K427" s="68" t="s">
        <v>238</v>
      </c>
    </row>
    <row r="428" spans="1:11" x14ac:dyDescent="0.35">
      <c r="A428" s="15">
        <v>45769</v>
      </c>
      <c r="B428" s="11" t="s">
        <v>457</v>
      </c>
      <c r="C428" s="19">
        <v>45761</v>
      </c>
      <c r="D428" s="13" t="s">
        <v>479</v>
      </c>
      <c r="E428" s="12">
        <v>28500</v>
      </c>
      <c r="F428" s="21" t="s">
        <v>32</v>
      </c>
      <c r="G428" s="21" t="s">
        <v>72</v>
      </c>
      <c r="H428" s="21" t="s">
        <v>73</v>
      </c>
      <c r="I428" s="21" t="s">
        <v>90</v>
      </c>
      <c r="J428" s="68">
        <f>+MONTH(ExpenseTable[[#This Row],[Voucher Date]])</f>
        <v>4</v>
      </c>
      <c r="K428" s="68" t="s">
        <v>238</v>
      </c>
    </row>
    <row r="429" spans="1:11" x14ac:dyDescent="0.35">
      <c r="A429" s="15">
        <v>45751</v>
      </c>
      <c r="B429" s="11" t="s">
        <v>457</v>
      </c>
      <c r="C429" s="19">
        <v>45761</v>
      </c>
      <c r="D429" s="13" t="s">
        <v>458</v>
      </c>
      <c r="E429" s="12">
        <v>28888</v>
      </c>
      <c r="F429" s="21" t="s">
        <v>29</v>
      </c>
      <c r="G429" s="21" t="s">
        <v>72</v>
      </c>
      <c r="H429" s="21" t="s">
        <v>73</v>
      </c>
      <c r="I429" s="21" t="s">
        <v>90</v>
      </c>
      <c r="J429" s="68">
        <f>+MONTH(ExpenseTable[[#This Row],[Voucher Date]])</f>
        <v>4</v>
      </c>
      <c r="K429" s="68" t="s">
        <v>238</v>
      </c>
    </row>
    <row r="430" spans="1:11" x14ac:dyDescent="0.35">
      <c r="A430" s="15">
        <v>45730</v>
      </c>
      <c r="B430" s="11" t="s">
        <v>457</v>
      </c>
      <c r="C430" s="19">
        <v>45761</v>
      </c>
      <c r="D430" s="13" t="s">
        <v>341</v>
      </c>
      <c r="E430" s="12">
        <v>50000</v>
      </c>
      <c r="F430" s="21" t="s">
        <v>38</v>
      </c>
      <c r="G430" s="21" t="s">
        <v>72</v>
      </c>
      <c r="H430" s="21" t="s">
        <v>73</v>
      </c>
      <c r="I430" s="21" t="s">
        <v>90</v>
      </c>
      <c r="J430" s="68">
        <f>+MONTH(ExpenseTable[[#This Row],[Voucher Date]])</f>
        <v>4</v>
      </c>
      <c r="K430" s="68" t="s">
        <v>238</v>
      </c>
    </row>
    <row r="431" spans="1:11" x14ac:dyDescent="0.35">
      <c r="A431" s="15">
        <v>45762</v>
      </c>
      <c r="B431" s="11" t="s">
        <v>459</v>
      </c>
      <c r="C431" s="19">
        <v>45762</v>
      </c>
      <c r="D431" s="13" t="s">
        <v>465</v>
      </c>
      <c r="E431" s="12">
        <v>4400</v>
      </c>
      <c r="F431" s="21" t="s">
        <v>27</v>
      </c>
      <c r="G431" s="21" t="s">
        <v>72</v>
      </c>
      <c r="H431" s="21" t="s">
        <v>73</v>
      </c>
      <c r="I431" s="21" t="s">
        <v>90</v>
      </c>
      <c r="J431" s="68">
        <f>+MONTH(ExpenseTable[[#This Row],[Voucher Date]])</f>
        <v>4</v>
      </c>
      <c r="K431" s="68" t="s">
        <v>238</v>
      </c>
    </row>
    <row r="432" spans="1:11" x14ac:dyDescent="0.35">
      <c r="A432" s="15">
        <v>45762</v>
      </c>
      <c r="B432" s="11" t="s">
        <v>459</v>
      </c>
      <c r="C432" s="19">
        <v>45762</v>
      </c>
      <c r="D432" s="13" t="s">
        <v>464</v>
      </c>
      <c r="E432" s="12">
        <v>5000</v>
      </c>
      <c r="F432" s="21" t="s">
        <v>22</v>
      </c>
      <c r="G432" s="21" t="s">
        <v>72</v>
      </c>
      <c r="H432" s="21" t="s">
        <v>73</v>
      </c>
      <c r="I432" s="21" t="s">
        <v>90</v>
      </c>
      <c r="J432" s="68">
        <f>+MONTH(ExpenseTable[[#This Row],[Voucher Date]])</f>
        <v>4</v>
      </c>
      <c r="K432" s="68" t="s">
        <v>238</v>
      </c>
    </row>
    <row r="433" spans="1:11" x14ac:dyDescent="0.35">
      <c r="A433" s="15">
        <v>45762</v>
      </c>
      <c r="B433" s="11" t="s">
        <v>459</v>
      </c>
      <c r="C433" s="19">
        <v>45762</v>
      </c>
      <c r="D433" s="13" t="s">
        <v>463</v>
      </c>
      <c r="E433" s="12">
        <v>25000</v>
      </c>
      <c r="F433" s="21" t="s">
        <v>22</v>
      </c>
      <c r="G433" s="21" t="s">
        <v>72</v>
      </c>
      <c r="H433" s="21" t="s">
        <v>73</v>
      </c>
      <c r="I433" s="21" t="s">
        <v>90</v>
      </c>
      <c r="J433" s="68">
        <f>+MONTH(ExpenseTable[[#This Row],[Voucher Date]])</f>
        <v>4</v>
      </c>
      <c r="K433" s="68" t="s">
        <v>238</v>
      </c>
    </row>
    <row r="434" spans="1:11" x14ac:dyDescent="0.35">
      <c r="A434" s="15">
        <v>45762</v>
      </c>
      <c r="B434" s="11" t="s">
        <v>459</v>
      </c>
      <c r="C434" s="19">
        <v>45762</v>
      </c>
      <c r="D434" s="13" t="s">
        <v>224</v>
      </c>
      <c r="E434" s="12">
        <v>30000</v>
      </c>
      <c r="F434" s="21" t="s">
        <v>32</v>
      </c>
      <c r="G434" s="21" t="s">
        <v>72</v>
      </c>
      <c r="H434" s="21" t="s">
        <v>73</v>
      </c>
      <c r="I434" s="21" t="s">
        <v>90</v>
      </c>
      <c r="J434" s="68">
        <f>+MONTH(ExpenseTable[[#This Row],[Voucher Date]])</f>
        <v>4</v>
      </c>
      <c r="K434" s="68" t="s">
        <v>238</v>
      </c>
    </row>
    <row r="435" spans="1:11" x14ac:dyDescent="0.35">
      <c r="A435" s="15">
        <v>45764</v>
      </c>
      <c r="B435" s="11" t="s">
        <v>459</v>
      </c>
      <c r="C435" s="19">
        <v>45762</v>
      </c>
      <c r="D435" s="13" t="s">
        <v>129</v>
      </c>
      <c r="E435" s="12">
        <v>30000</v>
      </c>
      <c r="F435" s="21" t="s">
        <v>40</v>
      </c>
      <c r="G435" s="21" t="s">
        <v>72</v>
      </c>
      <c r="H435" s="21" t="s">
        <v>73</v>
      </c>
      <c r="I435" s="21" t="s">
        <v>90</v>
      </c>
      <c r="J435" s="68">
        <f>+MONTH(ExpenseTable[[#This Row],[Voucher Date]])</f>
        <v>4</v>
      </c>
      <c r="K435" s="68" t="s">
        <v>238</v>
      </c>
    </row>
    <row r="436" spans="1:11" x14ac:dyDescent="0.35">
      <c r="A436" s="15">
        <v>45762</v>
      </c>
      <c r="B436" s="11" t="s">
        <v>459</v>
      </c>
      <c r="C436" s="19">
        <v>45762</v>
      </c>
      <c r="D436" s="13" t="s">
        <v>461</v>
      </c>
      <c r="E436" s="12">
        <v>140000</v>
      </c>
      <c r="F436" s="21" t="s">
        <v>5</v>
      </c>
      <c r="G436" s="21" t="s">
        <v>72</v>
      </c>
      <c r="H436" s="21" t="s">
        <v>73</v>
      </c>
      <c r="I436" s="21" t="s">
        <v>90</v>
      </c>
      <c r="J436" s="68">
        <f>+MONTH(ExpenseTable[[#This Row],[Voucher Date]])</f>
        <v>4</v>
      </c>
      <c r="K436" s="68" t="s">
        <v>238</v>
      </c>
    </row>
    <row r="437" spans="1:11" x14ac:dyDescent="0.35">
      <c r="A437" s="15">
        <v>45762</v>
      </c>
      <c r="B437" s="11" t="s">
        <v>459</v>
      </c>
      <c r="C437" s="19">
        <v>45762</v>
      </c>
      <c r="D437" s="13" t="s">
        <v>462</v>
      </c>
      <c r="E437" s="12">
        <v>140000</v>
      </c>
      <c r="F437" s="21" t="s">
        <v>5</v>
      </c>
      <c r="G437" s="21" t="s">
        <v>72</v>
      </c>
      <c r="H437" s="21" t="s">
        <v>73</v>
      </c>
      <c r="I437" s="21" t="s">
        <v>90</v>
      </c>
      <c r="J437" s="68">
        <f>+MONTH(ExpenseTable[[#This Row],[Voucher Date]])</f>
        <v>4</v>
      </c>
      <c r="K437" s="68" t="s">
        <v>238</v>
      </c>
    </row>
    <row r="438" spans="1:11" x14ac:dyDescent="0.35">
      <c r="A438" s="15">
        <v>45762</v>
      </c>
      <c r="B438" s="11" t="s">
        <v>459</v>
      </c>
      <c r="C438" s="19">
        <v>45762</v>
      </c>
      <c r="D438" s="13" t="s">
        <v>460</v>
      </c>
      <c r="E438" s="12">
        <v>197000</v>
      </c>
      <c r="F438" s="21" t="s">
        <v>54</v>
      </c>
      <c r="G438" s="21" t="s">
        <v>72</v>
      </c>
      <c r="H438" s="21" t="s">
        <v>73</v>
      </c>
      <c r="I438" s="21" t="s">
        <v>90</v>
      </c>
      <c r="J438" s="68">
        <f>+MONTH(ExpenseTable[[#This Row],[Voucher Date]])</f>
        <v>4</v>
      </c>
      <c r="K438" s="68" t="s">
        <v>238</v>
      </c>
    </row>
    <row r="439" spans="1:11" x14ac:dyDescent="0.35">
      <c r="A439" s="15">
        <v>45764</v>
      </c>
      <c r="B439" s="11" t="s">
        <v>859</v>
      </c>
      <c r="C439" s="19">
        <v>45762</v>
      </c>
      <c r="D439" s="13" t="s">
        <v>178</v>
      </c>
      <c r="E439" s="12">
        <v>54000</v>
      </c>
      <c r="F439" s="21" t="s">
        <v>40</v>
      </c>
      <c r="G439" s="21" t="s">
        <v>72</v>
      </c>
      <c r="H439" s="21" t="s">
        <v>73</v>
      </c>
      <c r="I439" s="21" t="s">
        <v>90</v>
      </c>
      <c r="J439" s="68">
        <f>+MONTH(ExpenseTable[[#This Row],[Voucher Date]])</f>
        <v>4</v>
      </c>
      <c r="K439" s="68" t="s">
        <v>238</v>
      </c>
    </row>
    <row r="440" spans="1:11" x14ac:dyDescent="0.35">
      <c r="A440" s="15">
        <v>45766</v>
      </c>
      <c r="B440" s="11" t="s">
        <v>466</v>
      </c>
      <c r="C440" s="19">
        <v>45763</v>
      </c>
      <c r="D440" s="13" t="s">
        <v>470</v>
      </c>
      <c r="E440" s="12">
        <v>500</v>
      </c>
      <c r="F440" s="21" t="s">
        <v>21</v>
      </c>
      <c r="G440" s="21" t="s">
        <v>72</v>
      </c>
      <c r="H440" s="21" t="s">
        <v>73</v>
      </c>
      <c r="I440" s="21" t="s">
        <v>90</v>
      </c>
      <c r="J440" s="68">
        <f>+MONTH(ExpenseTable[[#This Row],[Voucher Date]])</f>
        <v>4</v>
      </c>
      <c r="K440" s="68" t="s">
        <v>238</v>
      </c>
    </row>
    <row r="441" spans="1:11" x14ac:dyDescent="0.35">
      <c r="A441" s="15">
        <v>45764</v>
      </c>
      <c r="B441" s="11" t="s">
        <v>466</v>
      </c>
      <c r="C441" s="19">
        <v>45763</v>
      </c>
      <c r="D441" s="13" t="s">
        <v>469</v>
      </c>
      <c r="E441" s="12">
        <v>3000</v>
      </c>
      <c r="F441" s="21" t="s">
        <v>21</v>
      </c>
      <c r="G441" s="21" t="s">
        <v>72</v>
      </c>
      <c r="H441" s="21" t="s">
        <v>73</v>
      </c>
      <c r="I441" s="21" t="s">
        <v>90</v>
      </c>
      <c r="J441" s="68">
        <f>+MONTH(ExpenseTable[[#This Row],[Voucher Date]])</f>
        <v>4</v>
      </c>
      <c r="K441" s="68" t="s">
        <v>238</v>
      </c>
    </row>
    <row r="442" spans="1:11" x14ac:dyDescent="0.35">
      <c r="A442" s="15">
        <v>45766</v>
      </c>
      <c r="B442" s="11" t="s">
        <v>466</v>
      </c>
      <c r="C442" s="19">
        <v>45763</v>
      </c>
      <c r="D442" s="13" t="s">
        <v>467</v>
      </c>
      <c r="E442" s="12">
        <v>4800</v>
      </c>
      <c r="F442" s="21" t="s">
        <v>54</v>
      </c>
      <c r="G442" s="21" t="s">
        <v>72</v>
      </c>
      <c r="H442" s="21" t="s">
        <v>73</v>
      </c>
      <c r="I442" s="21" t="s">
        <v>90</v>
      </c>
      <c r="J442" s="68">
        <f>+MONTH(ExpenseTable[[#This Row],[Voucher Date]])</f>
        <v>4</v>
      </c>
      <c r="K442" s="68" t="s">
        <v>238</v>
      </c>
    </row>
    <row r="443" spans="1:11" x14ac:dyDescent="0.35">
      <c r="A443" s="15">
        <v>45769</v>
      </c>
      <c r="B443" s="11" t="s">
        <v>466</v>
      </c>
      <c r="C443" s="19">
        <v>45763</v>
      </c>
      <c r="D443" s="13" t="s">
        <v>473</v>
      </c>
      <c r="E443" s="12">
        <v>5000</v>
      </c>
      <c r="F443" s="21" t="s">
        <v>5</v>
      </c>
      <c r="G443" s="21" t="s">
        <v>72</v>
      </c>
      <c r="H443" s="21" t="s">
        <v>73</v>
      </c>
      <c r="I443" s="21" t="s">
        <v>90</v>
      </c>
      <c r="J443" s="68">
        <f>+MONTH(ExpenseTable[[#This Row],[Voucher Date]])</f>
        <v>4</v>
      </c>
      <c r="K443" s="68" t="s">
        <v>238</v>
      </c>
    </row>
    <row r="444" spans="1:11" x14ac:dyDescent="0.35">
      <c r="A444" s="15">
        <v>45763</v>
      </c>
      <c r="B444" s="11" t="s">
        <v>466</v>
      </c>
      <c r="C444" s="19">
        <v>45763</v>
      </c>
      <c r="D444" s="13" t="s">
        <v>478</v>
      </c>
      <c r="E444" s="12">
        <v>16800</v>
      </c>
      <c r="F444" s="21" t="s">
        <v>27</v>
      </c>
      <c r="G444" s="21" t="s">
        <v>72</v>
      </c>
      <c r="H444" s="21" t="s">
        <v>73</v>
      </c>
      <c r="I444" s="21" t="s">
        <v>90</v>
      </c>
      <c r="J444" s="68">
        <f>+MONTH(ExpenseTable[[#This Row],[Voucher Date]])</f>
        <v>4</v>
      </c>
      <c r="K444" s="68" t="s">
        <v>238</v>
      </c>
    </row>
    <row r="445" spans="1:11" x14ac:dyDescent="0.35">
      <c r="A445" s="15">
        <v>45769</v>
      </c>
      <c r="B445" s="11" t="s">
        <v>466</v>
      </c>
      <c r="C445" s="19">
        <v>45763</v>
      </c>
      <c r="D445" s="13" t="s">
        <v>224</v>
      </c>
      <c r="E445" s="12">
        <v>25500</v>
      </c>
      <c r="F445" s="21" t="s">
        <v>27</v>
      </c>
      <c r="G445" s="21" t="s">
        <v>72</v>
      </c>
      <c r="H445" s="21" t="s">
        <v>73</v>
      </c>
      <c r="I445" s="21" t="s">
        <v>90</v>
      </c>
      <c r="J445" s="68">
        <f>+MONTH(ExpenseTable[[#This Row],[Voucher Date]])</f>
        <v>4</v>
      </c>
      <c r="K445" s="68" t="s">
        <v>238</v>
      </c>
    </row>
    <row r="446" spans="1:11" x14ac:dyDescent="0.35">
      <c r="A446" s="15">
        <v>45764</v>
      </c>
      <c r="B446" s="11" t="s">
        <v>466</v>
      </c>
      <c r="C446" s="19">
        <v>45763</v>
      </c>
      <c r="D446" s="13" t="s">
        <v>481</v>
      </c>
      <c r="E446" s="12">
        <v>524000</v>
      </c>
      <c r="F446" s="21" t="s">
        <v>88</v>
      </c>
      <c r="G446" s="21" t="s">
        <v>72</v>
      </c>
      <c r="H446" s="21" t="s">
        <v>73</v>
      </c>
      <c r="I446" s="21" t="s">
        <v>90</v>
      </c>
      <c r="J446" s="68">
        <f>+MONTH(ExpenseTable[[#This Row],[Voucher Date]])</f>
        <v>4</v>
      </c>
      <c r="K446" s="68" t="s">
        <v>238</v>
      </c>
    </row>
    <row r="447" spans="1:11" x14ac:dyDescent="0.35">
      <c r="A447" s="15">
        <v>45769</v>
      </c>
      <c r="B447" s="11" t="s">
        <v>474</v>
      </c>
      <c r="C447" s="19">
        <v>45763</v>
      </c>
      <c r="D447" s="13" t="s">
        <v>356</v>
      </c>
      <c r="E447" s="12">
        <v>34000</v>
      </c>
      <c r="F447" s="21" t="s">
        <v>22</v>
      </c>
      <c r="G447" s="21" t="s">
        <v>72</v>
      </c>
      <c r="H447" s="21" t="s">
        <v>73</v>
      </c>
      <c r="I447" s="21" t="s">
        <v>90</v>
      </c>
      <c r="J447" s="68">
        <f>+MONTH(ExpenseTable[[#This Row],[Voucher Date]])</f>
        <v>4</v>
      </c>
      <c r="K447" s="68" t="s">
        <v>238</v>
      </c>
    </row>
    <row r="448" spans="1:11" x14ac:dyDescent="0.35">
      <c r="A448" s="15">
        <v>45749</v>
      </c>
      <c r="B448" s="11" t="s">
        <v>860</v>
      </c>
      <c r="C448" s="19">
        <v>45763</v>
      </c>
      <c r="D448" s="13" t="s">
        <v>468</v>
      </c>
      <c r="E448" s="12">
        <v>426500</v>
      </c>
      <c r="F448" s="21" t="s">
        <v>86</v>
      </c>
      <c r="G448" s="21" t="s">
        <v>72</v>
      </c>
      <c r="H448" s="21" t="s">
        <v>73</v>
      </c>
      <c r="I448" s="21" t="s">
        <v>1123</v>
      </c>
      <c r="J448" s="68">
        <f>+MONTH(ExpenseTable[[#This Row],[Voucher Date]])</f>
        <v>4</v>
      </c>
      <c r="K448" s="68" t="s">
        <v>238</v>
      </c>
    </row>
    <row r="449" spans="1:11" x14ac:dyDescent="0.35">
      <c r="A449" s="15">
        <v>45751</v>
      </c>
      <c r="B449" s="11" t="s">
        <v>861</v>
      </c>
      <c r="C449" s="19">
        <v>45763</v>
      </c>
      <c r="D449" s="13" t="s">
        <v>477</v>
      </c>
      <c r="E449" s="12">
        <v>49317.5</v>
      </c>
      <c r="F449" s="21" t="s">
        <v>84</v>
      </c>
      <c r="G449" s="21" t="s">
        <v>72</v>
      </c>
      <c r="H449" s="21" t="s">
        <v>73</v>
      </c>
      <c r="I449" s="21" t="s">
        <v>91</v>
      </c>
      <c r="J449" s="68">
        <f>+MONTH(ExpenseTable[[#This Row],[Voucher Date]])</f>
        <v>4</v>
      </c>
      <c r="K449" s="68" t="s">
        <v>238</v>
      </c>
    </row>
    <row r="450" spans="1:11" x14ac:dyDescent="0.35">
      <c r="A450" s="15">
        <v>45750</v>
      </c>
      <c r="B450" s="11" t="s">
        <v>861</v>
      </c>
      <c r="C450" s="19">
        <v>45763</v>
      </c>
      <c r="D450" s="13" t="s">
        <v>476</v>
      </c>
      <c r="E450" s="12">
        <v>150000</v>
      </c>
      <c r="F450" s="21" t="s">
        <v>22</v>
      </c>
      <c r="G450" s="21" t="s">
        <v>72</v>
      </c>
      <c r="H450" s="21" t="s">
        <v>73</v>
      </c>
      <c r="I450" s="21" t="s">
        <v>91</v>
      </c>
      <c r="J450" s="68">
        <f>+MONTH(ExpenseTable[[#This Row],[Voucher Date]])</f>
        <v>4</v>
      </c>
      <c r="K450" s="68" t="s">
        <v>238</v>
      </c>
    </row>
    <row r="451" spans="1:11" x14ac:dyDescent="0.35">
      <c r="A451" s="15">
        <v>45751</v>
      </c>
      <c r="B451" s="11" t="s">
        <v>861</v>
      </c>
      <c r="C451" s="19">
        <v>45763</v>
      </c>
      <c r="D451" s="13" t="s">
        <v>480</v>
      </c>
      <c r="E451" s="12">
        <v>172946.7</v>
      </c>
      <c r="F451" s="21" t="s">
        <v>56</v>
      </c>
      <c r="G451" s="21" t="s">
        <v>72</v>
      </c>
      <c r="H451" s="21" t="s">
        <v>73</v>
      </c>
      <c r="I451" s="21" t="s">
        <v>91</v>
      </c>
      <c r="J451" s="68">
        <f>+MONTH(ExpenseTable[[#This Row],[Voucher Date]])</f>
        <v>4</v>
      </c>
      <c r="K451" s="68" t="s">
        <v>238</v>
      </c>
    </row>
    <row r="452" spans="1:11" x14ac:dyDescent="0.35">
      <c r="A452" s="15">
        <v>45750</v>
      </c>
      <c r="B452" s="11" t="s">
        <v>861</v>
      </c>
      <c r="C452" s="19">
        <v>45763</v>
      </c>
      <c r="D452" s="13" t="s">
        <v>475</v>
      </c>
      <c r="E452" s="12">
        <v>250000</v>
      </c>
      <c r="F452" s="21" t="s">
        <v>22</v>
      </c>
      <c r="G452" s="21" t="s">
        <v>72</v>
      </c>
      <c r="H452" s="21" t="s">
        <v>73</v>
      </c>
      <c r="I452" s="21" t="s">
        <v>91</v>
      </c>
      <c r="J452" s="68">
        <f>+MONTH(ExpenseTable[[#This Row],[Voucher Date]])</f>
        <v>4</v>
      </c>
      <c r="K452" s="68" t="s">
        <v>238</v>
      </c>
    </row>
    <row r="453" spans="1:11" x14ac:dyDescent="0.35">
      <c r="A453" s="15">
        <v>45771</v>
      </c>
      <c r="B453" s="11" t="s">
        <v>861</v>
      </c>
      <c r="C453" s="19">
        <v>45763</v>
      </c>
      <c r="D453" s="13" t="s">
        <v>482</v>
      </c>
      <c r="E453" s="12">
        <v>250000</v>
      </c>
      <c r="F453" s="21" t="s">
        <v>42</v>
      </c>
      <c r="G453" s="21" t="s">
        <v>72</v>
      </c>
      <c r="H453" s="21" t="s">
        <v>73</v>
      </c>
      <c r="I453" s="21" t="s">
        <v>91</v>
      </c>
      <c r="J453" s="68">
        <f>+MONTH(ExpenseTable[[#This Row],[Voucher Date]])</f>
        <v>4</v>
      </c>
      <c r="K453" s="68" t="s">
        <v>238</v>
      </c>
    </row>
    <row r="454" spans="1:11" x14ac:dyDescent="0.35">
      <c r="A454" s="15">
        <v>45763</v>
      </c>
      <c r="B454" s="11" t="s">
        <v>861</v>
      </c>
      <c r="C454" s="19">
        <v>45763</v>
      </c>
      <c r="D454" s="13" t="s">
        <v>468</v>
      </c>
      <c r="E454" s="12">
        <v>252500</v>
      </c>
      <c r="F454" s="21" t="s">
        <v>86</v>
      </c>
      <c r="G454" s="21" t="s">
        <v>72</v>
      </c>
      <c r="H454" s="21" t="s">
        <v>73</v>
      </c>
      <c r="I454" s="21" t="s">
        <v>91</v>
      </c>
      <c r="J454" s="68">
        <f>+MONTH(ExpenseTable[[#This Row],[Voucher Date]])</f>
        <v>4</v>
      </c>
      <c r="K454" s="68" t="s">
        <v>238</v>
      </c>
    </row>
    <row r="455" spans="1:11" x14ac:dyDescent="0.35">
      <c r="A455" s="15">
        <v>45770</v>
      </c>
      <c r="B455" s="11" t="s">
        <v>861</v>
      </c>
      <c r="C455" s="19">
        <v>45763</v>
      </c>
      <c r="D455" s="13" t="s">
        <v>472</v>
      </c>
      <c r="E455" s="12">
        <v>380000</v>
      </c>
      <c r="F455" s="21" t="s">
        <v>5</v>
      </c>
      <c r="G455" s="21" t="s">
        <v>72</v>
      </c>
      <c r="H455" s="21" t="s">
        <v>73</v>
      </c>
      <c r="I455" s="21" t="s">
        <v>91</v>
      </c>
      <c r="J455" s="68">
        <f>+MONTH(ExpenseTable[[#This Row],[Voucher Date]])</f>
        <v>4</v>
      </c>
      <c r="K455" s="68" t="s">
        <v>238</v>
      </c>
    </row>
    <row r="456" spans="1:11" x14ac:dyDescent="0.35">
      <c r="A456" s="15">
        <v>45751</v>
      </c>
      <c r="B456" s="11" t="s">
        <v>861</v>
      </c>
      <c r="C456" s="19">
        <v>45763</v>
      </c>
      <c r="D456" s="13" t="s">
        <v>471</v>
      </c>
      <c r="E456" s="12">
        <v>1000000</v>
      </c>
      <c r="F456" s="21" t="s">
        <v>5</v>
      </c>
      <c r="G456" s="21" t="s">
        <v>72</v>
      </c>
      <c r="H456" s="21" t="s">
        <v>73</v>
      </c>
      <c r="I456" s="21" t="s">
        <v>91</v>
      </c>
      <c r="J456" s="68">
        <f>+MONTH(ExpenseTable[[#This Row],[Voucher Date]])</f>
        <v>4</v>
      </c>
      <c r="K456" s="68" t="s">
        <v>238</v>
      </c>
    </row>
    <row r="457" spans="1:11" x14ac:dyDescent="0.35">
      <c r="A457" s="15">
        <v>45764</v>
      </c>
      <c r="B457" s="11" t="s">
        <v>483</v>
      </c>
      <c r="C457" s="19">
        <v>45764</v>
      </c>
      <c r="D457" s="13" t="s">
        <v>485</v>
      </c>
      <c r="E457" s="12">
        <v>350000</v>
      </c>
      <c r="F457" s="21" t="s">
        <v>5</v>
      </c>
      <c r="G457" s="21" t="s">
        <v>72</v>
      </c>
      <c r="H457" s="21" t="s">
        <v>73</v>
      </c>
      <c r="I457" s="21" t="s">
        <v>80</v>
      </c>
      <c r="J457" s="68">
        <f>+MONTH(ExpenseTable[[#This Row],[Voucher Date]])</f>
        <v>4</v>
      </c>
      <c r="K457" s="68" t="s">
        <v>238</v>
      </c>
    </row>
    <row r="458" spans="1:11" x14ac:dyDescent="0.35">
      <c r="A458" s="15">
        <v>45764</v>
      </c>
      <c r="B458" s="11" t="s">
        <v>483</v>
      </c>
      <c r="C458" s="19">
        <v>45764</v>
      </c>
      <c r="D458" s="13" t="s">
        <v>484</v>
      </c>
      <c r="E458" s="12">
        <v>500000</v>
      </c>
      <c r="F458" s="21" t="s">
        <v>54</v>
      </c>
      <c r="G458" s="21" t="s">
        <v>80</v>
      </c>
      <c r="H458" s="21" t="s">
        <v>81</v>
      </c>
      <c r="I458" s="21" t="s">
        <v>80</v>
      </c>
      <c r="J458" s="68">
        <f>+MONTH(ExpenseTable[[#This Row],[Voucher Date]])</f>
        <v>4</v>
      </c>
      <c r="K458" s="68" t="s">
        <v>238</v>
      </c>
    </row>
    <row r="459" spans="1:11" x14ac:dyDescent="0.35">
      <c r="A459" s="15">
        <v>45766</v>
      </c>
      <c r="B459" s="11" t="s">
        <v>486</v>
      </c>
      <c r="C459" s="19">
        <v>45766</v>
      </c>
      <c r="D459" s="13" t="s">
        <v>489</v>
      </c>
      <c r="E459" s="12">
        <v>5000</v>
      </c>
      <c r="F459" s="21" t="s">
        <v>22</v>
      </c>
      <c r="G459" s="21" t="s">
        <v>72</v>
      </c>
      <c r="H459" s="21" t="s">
        <v>73</v>
      </c>
      <c r="I459" s="21" t="s">
        <v>1123</v>
      </c>
      <c r="J459" s="68">
        <f>+MONTH(ExpenseTable[[#This Row],[Voucher Date]])</f>
        <v>4</v>
      </c>
      <c r="K459" s="68" t="s">
        <v>238</v>
      </c>
    </row>
    <row r="460" spans="1:11" x14ac:dyDescent="0.35">
      <c r="A460" s="15">
        <v>45766</v>
      </c>
      <c r="B460" s="11" t="s">
        <v>486</v>
      </c>
      <c r="C460" s="19">
        <v>45766</v>
      </c>
      <c r="D460" s="13" t="s">
        <v>488</v>
      </c>
      <c r="E460" s="12">
        <v>20000</v>
      </c>
      <c r="F460" s="21" t="s">
        <v>37</v>
      </c>
      <c r="G460" s="21" t="s">
        <v>72</v>
      </c>
      <c r="H460" s="21" t="s">
        <v>73</v>
      </c>
      <c r="I460" s="21" t="s">
        <v>1123</v>
      </c>
      <c r="J460" s="68">
        <f>+MONTH(ExpenseTable[[#This Row],[Voucher Date]])</f>
        <v>4</v>
      </c>
      <c r="K460" s="68" t="s">
        <v>238</v>
      </c>
    </row>
    <row r="461" spans="1:11" x14ac:dyDescent="0.35">
      <c r="A461" s="15">
        <v>45756</v>
      </c>
      <c r="B461" s="11" t="s">
        <v>486</v>
      </c>
      <c r="C461" s="19">
        <v>45766</v>
      </c>
      <c r="D461" s="13" t="s">
        <v>490</v>
      </c>
      <c r="E461" s="12">
        <v>40000</v>
      </c>
      <c r="F461" s="21" t="s">
        <v>40</v>
      </c>
      <c r="G461" s="21" t="s">
        <v>72</v>
      </c>
      <c r="H461" s="21" t="s">
        <v>73</v>
      </c>
      <c r="I461" s="21" t="s">
        <v>1123</v>
      </c>
      <c r="J461" s="68">
        <f>+MONTH(ExpenseTable[[#This Row],[Voucher Date]])</f>
        <v>4</v>
      </c>
      <c r="K461" s="68" t="s">
        <v>238</v>
      </c>
    </row>
    <row r="462" spans="1:11" x14ac:dyDescent="0.35">
      <c r="A462" s="15">
        <v>45766</v>
      </c>
      <c r="B462" s="11" t="s">
        <v>486</v>
      </c>
      <c r="C462" s="19">
        <v>45766</v>
      </c>
      <c r="D462" s="13" t="s">
        <v>487</v>
      </c>
      <c r="E462" s="12">
        <v>42000</v>
      </c>
      <c r="F462" s="21" t="s">
        <v>33</v>
      </c>
      <c r="G462" s="21" t="s">
        <v>72</v>
      </c>
      <c r="H462" s="21" t="s">
        <v>73</v>
      </c>
      <c r="I462" s="21" t="s">
        <v>1123</v>
      </c>
      <c r="J462" s="68">
        <f>+MONTH(ExpenseTable[[#This Row],[Voucher Date]])</f>
        <v>4</v>
      </c>
      <c r="K462" s="68" t="s">
        <v>238</v>
      </c>
    </row>
    <row r="463" spans="1:11" x14ac:dyDescent="0.35">
      <c r="A463" s="15">
        <v>45766</v>
      </c>
      <c r="B463" s="11" t="s">
        <v>486</v>
      </c>
      <c r="C463" s="19">
        <v>45766</v>
      </c>
      <c r="D463" s="13" t="s">
        <v>189</v>
      </c>
      <c r="E463" s="12">
        <v>50000</v>
      </c>
      <c r="F463" s="21" t="s">
        <v>40</v>
      </c>
      <c r="G463" s="21" t="s">
        <v>72</v>
      </c>
      <c r="H463" s="21" t="s">
        <v>73</v>
      </c>
      <c r="I463" s="21" t="s">
        <v>1123</v>
      </c>
      <c r="J463" s="68">
        <f>+MONTH(ExpenseTable[[#This Row],[Voucher Date]])</f>
        <v>4</v>
      </c>
      <c r="K463" s="68" t="s">
        <v>238</v>
      </c>
    </row>
    <row r="464" spans="1:11" x14ac:dyDescent="0.35">
      <c r="A464" s="15">
        <v>45766</v>
      </c>
      <c r="B464" s="11" t="s">
        <v>486</v>
      </c>
      <c r="C464" s="19">
        <v>45766</v>
      </c>
      <c r="D464" s="13" t="s">
        <v>189</v>
      </c>
      <c r="E464" s="12">
        <v>54000</v>
      </c>
      <c r="F464" s="21" t="s">
        <v>40</v>
      </c>
      <c r="G464" s="21" t="s">
        <v>72</v>
      </c>
      <c r="H464" s="21" t="s">
        <v>73</v>
      </c>
      <c r="I464" s="21" t="s">
        <v>1123</v>
      </c>
      <c r="J464" s="68">
        <f>+MONTH(ExpenseTable[[#This Row],[Voucher Date]])</f>
        <v>4</v>
      </c>
      <c r="K464" s="68" t="s">
        <v>238</v>
      </c>
    </row>
    <row r="465" spans="1:11" x14ac:dyDescent="0.35">
      <c r="A465" s="15">
        <v>45755</v>
      </c>
      <c r="B465" s="11" t="s">
        <v>486</v>
      </c>
      <c r="C465" s="19">
        <v>45766</v>
      </c>
      <c r="D465" s="13" t="s">
        <v>189</v>
      </c>
      <c r="E465" s="12">
        <v>95000</v>
      </c>
      <c r="F465" s="21" t="s">
        <v>40</v>
      </c>
      <c r="G465" s="21" t="s">
        <v>72</v>
      </c>
      <c r="H465" s="21" t="s">
        <v>73</v>
      </c>
      <c r="I465" s="21" t="s">
        <v>1123</v>
      </c>
      <c r="J465" s="68">
        <f>+MONTH(ExpenseTable[[#This Row],[Voucher Date]])</f>
        <v>4</v>
      </c>
      <c r="K465" s="68" t="s">
        <v>238</v>
      </c>
    </row>
    <row r="466" spans="1:11" x14ac:dyDescent="0.35">
      <c r="A466" s="15">
        <v>45771</v>
      </c>
      <c r="B466" s="11" t="s">
        <v>491</v>
      </c>
      <c r="C466" s="19">
        <v>45768</v>
      </c>
      <c r="D466" s="13" t="s">
        <v>145</v>
      </c>
      <c r="E466" s="12">
        <v>7700</v>
      </c>
      <c r="F466" s="21" t="s">
        <v>37</v>
      </c>
      <c r="G466" s="21" t="s">
        <v>72</v>
      </c>
      <c r="H466" s="21" t="s">
        <v>73</v>
      </c>
      <c r="I466" s="21" t="s">
        <v>90</v>
      </c>
      <c r="J466" s="68">
        <f>+MONTH(ExpenseTable[[#This Row],[Voucher Date]])</f>
        <v>4</v>
      </c>
      <c r="K466" s="68" t="s">
        <v>238</v>
      </c>
    </row>
    <row r="467" spans="1:11" x14ac:dyDescent="0.35">
      <c r="A467" s="15">
        <v>45771</v>
      </c>
      <c r="B467" s="11" t="s">
        <v>491</v>
      </c>
      <c r="C467" s="19">
        <v>45768</v>
      </c>
      <c r="D467" s="13" t="s">
        <v>133</v>
      </c>
      <c r="E467" s="12">
        <v>25700</v>
      </c>
      <c r="F467" s="21" t="s">
        <v>32</v>
      </c>
      <c r="G467" s="21" t="s">
        <v>72</v>
      </c>
      <c r="H467" s="21" t="s">
        <v>73</v>
      </c>
      <c r="I467" s="21" t="s">
        <v>90</v>
      </c>
      <c r="J467" s="68">
        <f>+MONTH(ExpenseTable[[#This Row],[Voucher Date]])</f>
        <v>4</v>
      </c>
      <c r="K467" s="68" t="s">
        <v>238</v>
      </c>
    </row>
    <row r="468" spans="1:11" x14ac:dyDescent="0.35">
      <c r="A468" s="15">
        <v>45770</v>
      </c>
      <c r="B468" s="11" t="s">
        <v>491</v>
      </c>
      <c r="C468" s="19">
        <v>45768</v>
      </c>
      <c r="D468" s="13" t="s">
        <v>324</v>
      </c>
      <c r="E468" s="12">
        <v>30000</v>
      </c>
      <c r="F468" s="21" t="s">
        <v>57</v>
      </c>
      <c r="G468" s="21" t="s">
        <v>72</v>
      </c>
      <c r="H468" s="21" t="s">
        <v>73</v>
      </c>
      <c r="I468" s="21" t="s">
        <v>90</v>
      </c>
      <c r="J468" s="68">
        <f>+MONTH(ExpenseTable[[#This Row],[Voucher Date]])</f>
        <v>4</v>
      </c>
      <c r="K468" s="68" t="s">
        <v>238</v>
      </c>
    </row>
    <row r="469" spans="1:11" x14ac:dyDescent="0.35">
      <c r="A469" s="15">
        <v>45770</v>
      </c>
      <c r="B469" s="11" t="s">
        <v>491</v>
      </c>
      <c r="C469" s="19">
        <v>45768</v>
      </c>
      <c r="D469" s="13" t="s">
        <v>171</v>
      </c>
      <c r="E469" s="12">
        <v>50000</v>
      </c>
      <c r="F469" s="21" t="s">
        <v>40</v>
      </c>
      <c r="G469" s="21" t="s">
        <v>72</v>
      </c>
      <c r="H469" s="21" t="s">
        <v>73</v>
      </c>
      <c r="I469" s="21" t="s">
        <v>90</v>
      </c>
      <c r="J469" s="68">
        <f>+MONTH(ExpenseTable[[#This Row],[Voucher Date]])</f>
        <v>4</v>
      </c>
      <c r="K469" s="68" t="s">
        <v>238</v>
      </c>
    </row>
    <row r="470" spans="1:11" x14ac:dyDescent="0.35">
      <c r="A470" s="15">
        <v>45768</v>
      </c>
      <c r="B470" s="11" t="s">
        <v>862</v>
      </c>
      <c r="C470" s="19">
        <v>45768</v>
      </c>
      <c r="D470" s="13" t="s">
        <v>492</v>
      </c>
      <c r="E470" s="12">
        <v>2000</v>
      </c>
      <c r="F470" s="21" t="s">
        <v>54</v>
      </c>
      <c r="G470" s="21" t="s">
        <v>72</v>
      </c>
      <c r="H470" s="21" t="s">
        <v>73</v>
      </c>
      <c r="I470" s="21" t="s">
        <v>1123</v>
      </c>
      <c r="J470" s="68">
        <f>+MONTH(ExpenseTable[[#This Row],[Voucher Date]])</f>
        <v>4</v>
      </c>
      <c r="K470" s="68" t="s">
        <v>238</v>
      </c>
    </row>
    <row r="471" spans="1:11" x14ac:dyDescent="0.35">
      <c r="A471" s="15">
        <v>45768</v>
      </c>
      <c r="B471" s="11" t="s">
        <v>862</v>
      </c>
      <c r="C471" s="19">
        <v>45768</v>
      </c>
      <c r="D471" s="13" t="s">
        <v>288</v>
      </c>
      <c r="E471" s="12">
        <v>20000</v>
      </c>
      <c r="F471" s="21" t="s">
        <v>40</v>
      </c>
      <c r="G471" s="21" t="s">
        <v>72</v>
      </c>
      <c r="H471" s="21" t="s">
        <v>73</v>
      </c>
      <c r="I471" s="21" t="s">
        <v>1123</v>
      </c>
      <c r="J471" s="68">
        <f>+MONTH(ExpenseTable[[#This Row],[Voucher Date]])</f>
        <v>4</v>
      </c>
      <c r="K471" s="68" t="s">
        <v>238</v>
      </c>
    </row>
    <row r="472" spans="1:11" x14ac:dyDescent="0.35">
      <c r="A472" s="15">
        <v>45769</v>
      </c>
      <c r="B472" s="11" t="s">
        <v>862</v>
      </c>
      <c r="C472" s="19">
        <v>45768</v>
      </c>
      <c r="D472" s="13" t="s">
        <v>129</v>
      </c>
      <c r="E472" s="12">
        <v>20100</v>
      </c>
      <c r="F472" s="21" t="s">
        <v>32</v>
      </c>
      <c r="G472" s="21" t="s">
        <v>72</v>
      </c>
      <c r="H472" s="21" t="s">
        <v>73</v>
      </c>
      <c r="I472" s="21" t="s">
        <v>1123</v>
      </c>
      <c r="J472" s="68">
        <f>+MONTH(ExpenseTable[[#This Row],[Voucher Date]])</f>
        <v>4</v>
      </c>
      <c r="K472" s="68" t="s">
        <v>238</v>
      </c>
    </row>
    <row r="473" spans="1:11" x14ac:dyDescent="0.35">
      <c r="A473" s="15">
        <v>45769</v>
      </c>
      <c r="B473" s="11" t="s">
        <v>862</v>
      </c>
      <c r="C473" s="19">
        <v>45768</v>
      </c>
      <c r="D473" s="13" t="s">
        <v>493</v>
      </c>
      <c r="E473" s="12">
        <v>143500</v>
      </c>
      <c r="F473" s="21" t="s">
        <v>54</v>
      </c>
      <c r="G473" s="21" t="s">
        <v>80</v>
      </c>
      <c r="H473" s="21" t="s">
        <v>81</v>
      </c>
      <c r="I473" s="21" t="s">
        <v>1123</v>
      </c>
      <c r="J473" s="68">
        <f>+MONTH(ExpenseTable[[#This Row],[Voucher Date]])</f>
        <v>4</v>
      </c>
      <c r="K473" s="68" t="s">
        <v>238</v>
      </c>
    </row>
    <row r="474" spans="1:11" x14ac:dyDescent="0.35">
      <c r="A474" s="15">
        <v>45771</v>
      </c>
      <c r="B474" s="11" t="s">
        <v>494</v>
      </c>
      <c r="C474" s="19">
        <v>45770</v>
      </c>
      <c r="D474" s="13" t="s">
        <v>495</v>
      </c>
      <c r="E474" s="12">
        <v>15000</v>
      </c>
      <c r="F474" s="21" t="s">
        <v>5</v>
      </c>
      <c r="G474" s="21" t="s">
        <v>72</v>
      </c>
      <c r="H474" s="21" t="s">
        <v>73</v>
      </c>
      <c r="I474" s="21" t="s">
        <v>1123</v>
      </c>
      <c r="J474" s="68">
        <f>+MONTH(ExpenseTable[[#This Row],[Voucher Date]])</f>
        <v>4</v>
      </c>
      <c r="K474" s="68" t="s">
        <v>238</v>
      </c>
    </row>
    <row r="475" spans="1:11" x14ac:dyDescent="0.35">
      <c r="A475" s="15">
        <v>45770</v>
      </c>
      <c r="B475" s="11" t="s">
        <v>494</v>
      </c>
      <c r="C475" s="19">
        <v>45770</v>
      </c>
      <c r="D475" s="13" t="s">
        <v>132</v>
      </c>
      <c r="E475" s="12">
        <v>30000</v>
      </c>
      <c r="F475" s="21" t="s">
        <v>57</v>
      </c>
      <c r="G475" s="21" t="s">
        <v>72</v>
      </c>
      <c r="H475" s="21" t="s">
        <v>73</v>
      </c>
      <c r="I475" s="21" t="s">
        <v>1123</v>
      </c>
      <c r="J475" s="68">
        <f>+MONTH(ExpenseTable[[#This Row],[Voucher Date]])</f>
        <v>4</v>
      </c>
      <c r="K475" s="68" t="s">
        <v>238</v>
      </c>
    </row>
    <row r="476" spans="1:11" x14ac:dyDescent="0.35">
      <c r="A476" s="15">
        <v>45772</v>
      </c>
      <c r="B476" s="11" t="s">
        <v>494</v>
      </c>
      <c r="C476" s="19">
        <v>45770</v>
      </c>
      <c r="D476" s="13" t="s">
        <v>496</v>
      </c>
      <c r="E476" s="12">
        <v>36000</v>
      </c>
      <c r="F476" s="21" t="s">
        <v>55</v>
      </c>
      <c r="G476" s="21" t="s">
        <v>72</v>
      </c>
      <c r="H476" s="21" t="s">
        <v>73</v>
      </c>
      <c r="I476" s="21" t="s">
        <v>1123</v>
      </c>
      <c r="J476" s="68">
        <f>+MONTH(ExpenseTable[[#This Row],[Voucher Date]])</f>
        <v>4</v>
      </c>
      <c r="K476" s="68" t="s">
        <v>238</v>
      </c>
    </row>
    <row r="477" spans="1:11" x14ac:dyDescent="0.35">
      <c r="A477" s="15">
        <v>45777</v>
      </c>
      <c r="B477" s="11" t="s">
        <v>494</v>
      </c>
      <c r="C477" s="19">
        <v>45770</v>
      </c>
      <c r="D477" s="13" t="s">
        <v>497</v>
      </c>
      <c r="E477" s="12">
        <v>75000</v>
      </c>
      <c r="F477" s="21" t="s">
        <v>55</v>
      </c>
      <c r="G477" s="21" t="s">
        <v>72</v>
      </c>
      <c r="H477" s="21" t="s">
        <v>73</v>
      </c>
      <c r="I477" s="21" t="s">
        <v>1123</v>
      </c>
      <c r="J477" s="68">
        <f>+MONTH(ExpenseTable[[#This Row],[Voucher Date]])</f>
        <v>4</v>
      </c>
      <c r="K477" s="68" t="s">
        <v>238</v>
      </c>
    </row>
    <row r="478" spans="1:11" x14ac:dyDescent="0.35">
      <c r="A478" s="15">
        <v>45771</v>
      </c>
      <c r="B478" s="11" t="s">
        <v>498</v>
      </c>
      <c r="C478" s="19">
        <v>45771</v>
      </c>
      <c r="D478" s="13" t="s">
        <v>320</v>
      </c>
      <c r="E478" s="12">
        <v>400</v>
      </c>
      <c r="F478" s="21" t="s">
        <v>21</v>
      </c>
      <c r="G478" s="21" t="s">
        <v>72</v>
      </c>
      <c r="H478" s="21" t="s">
        <v>73</v>
      </c>
      <c r="I478" s="21" t="s">
        <v>90</v>
      </c>
      <c r="J478" s="68">
        <f>+MONTH(ExpenseTable[[#This Row],[Voucher Date]])</f>
        <v>4</v>
      </c>
      <c r="K478" s="68" t="s">
        <v>238</v>
      </c>
    </row>
    <row r="479" spans="1:11" x14ac:dyDescent="0.35">
      <c r="A479" s="15">
        <v>45775</v>
      </c>
      <c r="B479" s="11" t="s">
        <v>498</v>
      </c>
      <c r="C479" s="19">
        <v>45771</v>
      </c>
      <c r="D479" s="13" t="s">
        <v>506</v>
      </c>
      <c r="E479" s="12">
        <v>5200</v>
      </c>
      <c r="F479" s="21" t="s">
        <v>37</v>
      </c>
      <c r="G479" s="21" t="s">
        <v>72</v>
      </c>
      <c r="H479" s="21" t="s">
        <v>73</v>
      </c>
      <c r="I479" s="21" t="s">
        <v>90</v>
      </c>
      <c r="J479" s="68">
        <f>+MONTH(ExpenseTable[[#This Row],[Voucher Date]])</f>
        <v>4</v>
      </c>
      <c r="K479" s="68" t="s">
        <v>238</v>
      </c>
    </row>
    <row r="480" spans="1:11" x14ac:dyDescent="0.35">
      <c r="A480" s="15">
        <v>45771</v>
      </c>
      <c r="B480" s="11" t="s">
        <v>498</v>
      </c>
      <c r="C480" s="19">
        <v>45771</v>
      </c>
      <c r="D480" s="13" t="s">
        <v>510</v>
      </c>
      <c r="E480" s="12">
        <v>8000</v>
      </c>
      <c r="F480" s="21" t="s">
        <v>23</v>
      </c>
      <c r="G480" s="21" t="s">
        <v>72</v>
      </c>
      <c r="H480" s="21" t="s">
        <v>73</v>
      </c>
      <c r="I480" s="21" t="s">
        <v>90</v>
      </c>
      <c r="J480" s="68">
        <f>+MONTH(ExpenseTable[[#This Row],[Voucher Date]])</f>
        <v>4</v>
      </c>
      <c r="K480" s="68" t="s">
        <v>238</v>
      </c>
    </row>
    <row r="481" spans="1:11" x14ac:dyDescent="0.35">
      <c r="A481" s="15">
        <v>45771</v>
      </c>
      <c r="B481" s="11" t="s">
        <v>498</v>
      </c>
      <c r="C481" s="19">
        <v>45771</v>
      </c>
      <c r="D481" s="13" t="s">
        <v>321</v>
      </c>
      <c r="E481" s="12">
        <v>18000</v>
      </c>
      <c r="F481" s="21" t="s">
        <v>5</v>
      </c>
      <c r="G481" s="21" t="s">
        <v>72</v>
      </c>
      <c r="H481" s="21" t="s">
        <v>73</v>
      </c>
      <c r="I481" s="21" t="s">
        <v>90</v>
      </c>
      <c r="J481" s="68">
        <f>+MONTH(ExpenseTable[[#This Row],[Voucher Date]])</f>
        <v>4</v>
      </c>
      <c r="K481" s="68" t="s">
        <v>238</v>
      </c>
    </row>
    <row r="482" spans="1:11" x14ac:dyDescent="0.35">
      <c r="A482" s="15">
        <v>45775</v>
      </c>
      <c r="B482" s="11" t="s">
        <v>498</v>
      </c>
      <c r="C482" s="19">
        <v>45771</v>
      </c>
      <c r="D482" s="13" t="s">
        <v>508</v>
      </c>
      <c r="E482" s="12">
        <v>24000</v>
      </c>
      <c r="F482" s="21" t="s">
        <v>19</v>
      </c>
      <c r="G482" s="21" t="s">
        <v>72</v>
      </c>
      <c r="H482" s="21" t="s">
        <v>73</v>
      </c>
      <c r="I482" s="21" t="s">
        <v>90</v>
      </c>
      <c r="J482" s="68">
        <f>+MONTH(ExpenseTable[[#This Row],[Voucher Date]])</f>
        <v>4</v>
      </c>
      <c r="K482" s="68" t="s">
        <v>238</v>
      </c>
    </row>
    <row r="483" spans="1:11" x14ac:dyDescent="0.35">
      <c r="A483" s="15">
        <v>45772</v>
      </c>
      <c r="B483" s="11" t="s">
        <v>498</v>
      </c>
      <c r="C483" s="19">
        <v>45771</v>
      </c>
      <c r="D483" s="13" t="s">
        <v>507</v>
      </c>
      <c r="E483" s="12">
        <v>72000</v>
      </c>
      <c r="F483" s="21" t="s">
        <v>27</v>
      </c>
      <c r="G483" s="21" t="s">
        <v>72</v>
      </c>
      <c r="H483" s="21" t="s">
        <v>73</v>
      </c>
      <c r="I483" s="21" t="s">
        <v>90</v>
      </c>
      <c r="J483" s="68">
        <f>+MONTH(ExpenseTable[[#This Row],[Voucher Date]])</f>
        <v>4</v>
      </c>
      <c r="K483" s="68" t="s">
        <v>238</v>
      </c>
    </row>
    <row r="484" spans="1:11" x14ac:dyDescent="0.35">
      <c r="A484" s="15">
        <v>45771</v>
      </c>
      <c r="B484" s="11" t="s">
        <v>498</v>
      </c>
      <c r="C484" s="19">
        <v>45771</v>
      </c>
      <c r="D484" s="13" t="s">
        <v>509</v>
      </c>
      <c r="E484" s="12">
        <v>75000</v>
      </c>
      <c r="F484" s="21" t="s">
        <v>30</v>
      </c>
      <c r="G484" s="21" t="s">
        <v>72</v>
      </c>
      <c r="H484" s="21" t="s">
        <v>73</v>
      </c>
      <c r="I484" s="21" t="s">
        <v>90</v>
      </c>
      <c r="J484" s="68">
        <f>+MONTH(ExpenseTable[[#This Row],[Voucher Date]])</f>
        <v>4</v>
      </c>
      <c r="K484" s="68" t="s">
        <v>238</v>
      </c>
    </row>
    <row r="485" spans="1:11" x14ac:dyDescent="0.35">
      <c r="A485" s="15">
        <v>45776</v>
      </c>
      <c r="B485" s="11" t="s">
        <v>504</v>
      </c>
      <c r="C485" s="19">
        <v>45771</v>
      </c>
      <c r="D485" s="13" t="s">
        <v>503</v>
      </c>
      <c r="E485" s="12">
        <v>2000</v>
      </c>
      <c r="F485" s="21" t="s">
        <v>5</v>
      </c>
      <c r="G485" s="21" t="s">
        <v>72</v>
      </c>
      <c r="H485" s="21" t="s">
        <v>73</v>
      </c>
      <c r="I485" s="21" t="s">
        <v>1123</v>
      </c>
      <c r="J485" s="68">
        <f>+MONTH(ExpenseTable[[#This Row],[Voucher Date]])</f>
        <v>4</v>
      </c>
      <c r="K485" s="68" t="s">
        <v>238</v>
      </c>
    </row>
    <row r="486" spans="1:11" x14ac:dyDescent="0.35">
      <c r="A486" s="15">
        <v>45771</v>
      </c>
      <c r="B486" s="11" t="s">
        <v>504</v>
      </c>
      <c r="C486" s="19">
        <v>45771</v>
      </c>
      <c r="D486" s="13" t="s">
        <v>505</v>
      </c>
      <c r="E486" s="12">
        <v>17600</v>
      </c>
      <c r="F486" s="21" t="s">
        <v>37</v>
      </c>
      <c r="G486" s="21" t="s">
        <v>72</v>
      </c>
      <c r="H486" s="21" t="s">
        <v>73</v>
      </c>
      <c r="I486" s="21" t="s">
        <v>1123</v>
      </c>
      <c r="J486" s="68">
        <f>+MONTH(ExpenseTable[[#This Row],[Voucher Date]])</f>
        <v>4</v>
      </c>
      <c r="K486" s="68" t="s">
        <v>238</v>
      </c>
    </row>
    <row r="487" spans="1:11" x14ac:dyDescent="0.35">
      <c r="A487" s="15">
        <v>45776</v>
      </c>
      <c r="B487" s="11" t="s">
        <v>504</v>
      </c>
      <c r="C487" s="19">
        <v>45771</v>
      </c>
      <c r="D487" s="13" t="s">
        <v>502</v>
      </c>
      <c r="E487" s="12">
        <v>26000</v>
      </c>
      <c r="F487" s="21" t="s">
        <v>5</v>
      </c>
      <c r="G487" s="21" t="s">
        <v>72</v>
      </c>
      <c r="H487" s="21" t="s">
        <v>73</v>
      </c>
      <c r="I487" s="21" t="s">
        <v>1123</v>
      </c>
      <c r="J487" s="68">
        <f>+MONTH(ExpenseTable[[#This Row],[Voucher Date]])</f>
        <v>4</v>
      </c>
      <c r="K487" s="68" t="s">
        <v>238</v>
      </c>
    </row>
    <row r="488" spans="1:11" x14ac:dyDescent="0.35">
      <c r="A488" s="15">
        <v>45772</v>
      </c>
      <c r="B488" s="11" t="s">
        <v>504</v>
      </c>
      <c r="C488" s="19">
        <v>45771</v>
      </c>
      <c r="D488" s="13" t="s">
        <v>501</v>
      </c>
      <c r="E488" s="12">
        <v>36000</v>
      </c>
      <c r="F488" s="21" t="s">
        <v>5</v>
      </c>
      <c r="G488" s="21" t="s">
        <v>72</v>
      </c>
      <c r="H488" s="21" t="s">
        <v>73</v>
      </c>
      <c r="I488" s="21" t="s">
        <v>1123</v>
      </c>
      <c r="J488" s="68">
        <f>+MONTH(ExpenseTable[[#This Row],[Voucher Date]])</f>
        <v>4</v>
      </c>
      <c r="K488" s="68" t="s">
        <v>238</v>
      </c>
    </row>
    <row r="489" spans="1:11" x14ac:dyDescent="0.35">
      <c r="A489" s="15">
        <v>45771</v>
      </c>
      <c r="B489" s="11" t="s">
        <v>504</v>
      </c>
      <c r="C489" s="19">
        <v>45771</v>
      </c>
      <c r="D489" s="13" t="s">
        <v>189</v>
      </c>
      <c r="E489" s="12">
        <v>68000</v>
      </c>
      <c r="F489" s="21" t="s">
        <v>40</v>
      </c>
      <c r="G489" s="21" t="s">
        <v>72</v>
      </c>
      <c r="H489" s="21" t="s">
        <v>73</v>
      </c>
      <c r="I489" s="21" t="s">
        <v>1123</v>
      </c>
      <c r="J489" s="68">
        <f>+MONTH(ExpenseTable[[#This Row],[Voucher Date]])</f>
        <v>4</v>
      </c>
      <c r="K489" s="68" t="s">
        <v>238</v>
      </c>
    </row>
    <row r="490" spans="1:11" x14ac:dyDescent="0.35">
      <c r="A490" s="15">
        <v>45771</v>
      </c>
      <c r="B490" s="11" t="s">
        <v>504</v>
      </c>
      <c r="C490" s="19">
        <v>45771</v>
      </c>
      <c r="D490" s="13" t="s">
        <v>500</v>
      </c>
      <c r="E490" s="12">
        <v>110000</v>
      </c>
      <c r="F490" s="21" t="s">
        <v>5</v>
      </c>
      <c r="G490" s="21" t="s">
        <v>72</v>
      </c>
      <c r="H490" s="21" t="s">
        <v>73</v>
      </c>
      <c r="I490" s="21" t="s">
        <v>1123</v>
      </c>
      <c r="J490" s="68">
        <f>+MONTH(ExpenseTable[[#This Row],[Voucher Date]])</f>
        <v>4</v>
      </c>
      <c r="K490" s="68" t="s">
        <v>238</v>
      </c>
    </row>
    <row r="491" spans="1:11" x14ac:dyDescent="0.35">
      <c r="A491" s="15">
        <v>45770</v>
      </c>
      <c r="B491" s="11" t="s">
        <v>504</v>
      </c>
      <c r="C491" s="19">
        <v>45771</v>
      </c>
      <c r="D491" s="13" t="s">
        <v>499</v>
      </c>
      <c r="E491" s="12">
        <v>600000</v>
      </c>
      <c r="F491" s="21" t="s">
        <v>5</v>
      </c>
      <c r="G491" s="21" t="s">
        <v>72</v>
      </c>
      <c r="H491" s="21" t="s">
        <v>73</v>
      </c>
      <c r="I491" s="21" t="s">
        <v>1123</v>
      </c>
      <c r="J491" s="68">
        <f>+MONTH(ExpenseTable[[#This Row],[Voucher Date]])</f>
        <v>4</v>
      </c>
      <c r="K491" s="68" t="s">
        <v>238</v>
      </c>
    </row>
    <row r="492" spans="1:11" x14ac:dyDescent="0.35">
      <c r="A492" s="15">
        <v>45771</v>
      </c>
      <c r="B492" s="11" t="s">
        <v>863</v>
      </c>
      <c r="C492" s="19">
        <v>45771</v>
      </c>
      <c r="D492" s="13" t="s">
        <v>512</v>
      </c>
      <c r="E492" s="12">
        <v>380000</v>
      </c>
      <c r="F492" s="21" t="s">
        <v>55</v>
      </c>
      <c r="G492" s="21" t="s">
        <v>72</v>
      </c>
      <c r="H492" s="21" t="s">
        <v>73</v>
      </c>
      <c r="I492" s="21" t="s">
        <v>91</v>
      </c>
      <c r="J492" s="68">
        <f>+MONTH(ExpenseTable[[#This Row],[Voucher Date]])</f>
        <v>4</v>
      </c>
      <c r="K492" s="68" t="s">
        <v>238</v>
      </c>
    </row>
    <row r="493" spans="1:11" x14ac:dyDescent="0.35">
      <c r="A493" s="15">
        <v>45771</v>
      </c>
      <c r="B493" s="11" t="s">
        <v>863</v>
      </c>
      <c r="C493" s="19">
        <v>45771</v>
      </c>
      <c r="D493" s="13" t="s">
        <v>327</v>
      </c>
      <c r="E493" s="12">
        <v>400000</v>
      </c>
      <c r="F493" s="21" t="s">
        <v>86</v>
      </c>
      <c r="G493" s="21" t="s">
        <v>72</v>
      </c>
      <c r="H493" s="21" t="s">
        <v>73</v>
      </c>
      <c r="I493" s="21" t="s">
        <v>91</v>
      </c>
      <c r="J493" s="68">
        <f>+MONTH(ExpenseTable[[#This Row],[Voucher Date]])</f>
        <v>4</v>
      </c>
      <c r="K493" s="68" t="s">
        <v>238</v>
      </c>
    </row>
    <row r="494" spans="1:11" x14ac:dyDescent="0.35">
      <c r="A494" s="15">
        <v>45771</v>
      </c>
      <c r="B494" s="11" t="s">
        <v>863</v>
      </c>
      <c r="C494" s="19">
        <v>45771</v>
      </c>
      <c r="D494" s="13" t="s">
        <v>511</v>
      </c>
      <c r="E494" s="12">
        <v>600000</v>
      </c>
      <c r="F494" s="21" t="s">
        <v>55</v>
      </c>
      <c r="G494" s="21" t="s">
        <v>72</v>
      </c>
      <c r="H494" s="21" t="s">
        <v>73</v>
      </c>
      <c r="I494" s="21" t="s">
        <v>91</v>
      </c>
      <c r="J494" s="68">
        <f>+MONTH(ExpenseTable[[#This Row],[Voucher Date]])</f>
        <v>4</v>
      </c>
      <c r="K494" s="68" t="s">
        <v>238</v>
      </c>
    </row>
    <row r="495" spans="1:11" x14ac:dyDescent="0.35">
      <c r="A495" s="15">
        <v>45776</v>
      </c>
      <c r="B495" s="11" t="s">
        <v>513</v>
      </c>
      <c r="C495" s="19">
        <v>45775</v>
      </c>
      <c r="D495" s="13" t="s">
        <v>517</v>
      </c>
      <c r="E495" s="12">
        <v>10000</v>
      </c>
      <c r="F495" s="21" t="s">
        <v>55</v>
      </c>
      <c r="G495" s="21" t="s">
        <v>72</v>
      </c>
      <c r="H495" s="21" t="s">
        <v>73</v>
      </c>
      <c r="I495" s="21" t="s">
        <v>90</v>
      </c>
      <c r="J495" s="68">
        <f>+MONTH(ExpenseTable[[#This Row],[Voucher Date]])</f>
        <v>4</v>
      </c>
      <c r="K495" s="68" t="s">
        <v>238</v>
      </c>
    </row>
    <row r="496" spans="1:11" x14ac:dyDescent="0.35">
      <c r="A496" s="15">
        <v>45775</v>
      </c>
      <c r="B496" s="11" t="s">
        <v>513</v>
      </c>
      <c r="C496" s="19">
        <v>45775</v>
      </c>
      <c r="D496" s="13" t="s">
        <v>224</v>
      </c>
      <c r="E496" s="12">
        <v>26979</v>
      </c>
      <c r="F496" s="21" t="s">
        <v>32</v>
      </c>
      <c r="G496" s="21" t="s">
        <v>72</v>
      </c>
      <c r="H496" s="21" t="s">
        <v>73</v>
      </c>
      <c r="I496" s="21" t="s">
        <v>90</v>
      </c>
      <c r="J496" s="68">
        <f>+MONTH(ExpenseTable[[#This Row],[Voucher Date]])</f>
        <v>4</v>
      </c>
      <c r="K496" s="68" t="s">
        <v>238</v>
      </c>
    </row>
    <row r="497" spans="1:11" x14ac:dyDescent="0.35">
      <c r="A497" s="15">
        <v>45775</v>
      </c>
      <c r="B497" s="11" t="s">
        <v>513</v>
      </c>
      <c r="C497" s="19">
        <v>45775</v>
      </c>
      <c r="D497" s="13" t="s">
        <v>171</v>
      </c>
      <c r="E497" s="12">
        <v>50000</v>
      </c>
      <c r="F497" s="21" t="s">
        <v>40</v>
      </c>
      <c r="G497" s="21" t="s">
        <v>72</v>
      </c>
      <c r="H497" s="21" t="s">
        <v>73</v>
      </c>
      <c r="I497" s="21" t="s">
        <v>90</v>
      </c>
      <c r="J497" s="68">
        <f>+MONTH(ExpenseTable[[#This Row],[Voucher Date]])</f>
        <v>4</v>
      </c>
      <c r="K497" s="68" t="s">
        <v>238</v>
      </c>
    </row>
    <row r="498" spans="1:11" x14ac:dyDescent="0.35">
      <c r="A498" s="15">
        <v>45776</v>
      </c>
      <c r="B498" s="11" t="s">
        <v>513</v>
      </c>
      <c r="C498" s="19">
        <v>45775</v>
      </c>
      <c r="D498" s="13" t="s">
        <v>516</v>
      </c>
      <c r="E498" s="12">
        <v>78000</v>
      </c>
      <c r="F498" s="21" t="s">
        <v>43</v>
      </c>
      <c r="G498" s="21" t="s">
        <v>72</v>
      </c>
      <c r="H498" s="21" t="s">
        <v>73</v>
      </c>
      <c r="I498" s="21" t="s">
        <v>90</v>
      </c>
      <c r="J498" s="68">
        <f>+MONTH(ExpenseTable[[#This Row],[Voucher Date]])</f>
        <v>4</v>
      </c>
      <c r="K498" s="68" t="s">
        <v>238</v>
      </c>
    </row>
    <row r="499" spans="1:11" x14ac:dyDescent="0.35">
      <c r="A499" s="15">
        <v>45776</v>
      </c>
      <c r="B499" s="11" t="s">
        <v>513</v>
      </c>
      <c r="C499" s="19">
        <v>45775</v>
      </c>
      <c r="D499" s="13" t="s">
        <v>514</v>
      </c>
      <c r="E499" s="12">
        <v>130000</v>
      </c>
      <c r="F499" s="21" t="s">
        <v>5</v>
      </c>
      <c r="G499" s="21" t="s">
        <v>72</v>
      </c>
      <c r="H499" s="21" t="s">
        <v>73</v>
      </c>
      <c r="I499" s="21" t="s">
        <v>90</v>
      </c>
      <c r="J499" s="68">
        <f>+MONTH(ExpenseTable[[#This Row],[Voucher Date]])</f>
        <v>4</v>
      </c>
      <c r="K499" s="68" t="s">
        <v>238</v>
      </c>
    </row>
    <row r="500" spans="1:11" x14ac:dyDescent="0.35">
      <c r="A500" s="15">
        <v>45776</v>
      </c>
      <c r="B500" s="11" t="s">
        <v>513</v>
      </c>
      <c r="C500" s="19">
        <v>45775</v>
      </c>
      <c r="D500" s="13" t="s">
        <v>515</v>
      </c>
      <c r="E500" s="12">
        <v>160000</v>
      </c>
      <c r="F500" s="21" t="s">
        <v>27</v>
      </c>
      <c r="G500" s="21" t="s">
        <v>72</v>
      </c>
      <c r="H500" s="21" t="s">
        <v>73</v>
      </c>
      <c r="I500" s="21" t="s">
        <v>90</v>
      </c>
      <c r="J500" s="68">
        <f>+MONTH(ExpenseTable[[#This Row],[Voucher Date]])</f>
        <v>4</v>
      </c>
      <c r="K500" s="68" t="s">
        <v>238</v>
      </c>
    </row>
    <row r="501" spans="1:11" x14ac:dyDescent="0.35">
      <c r="A501" s="15">
        <v>45776</v>
      </c>
      <c r="B501" s="11" t="s">
        <v>513</v>
      </c>
      <c r="C501" s="19">
        <v>45775</v>
      </c>
      <c r="D501" s="13" t="s">
        <v>518</v>
      </c>
      <c r="E501" s="12">
        <v>530000</v>
      </c>
      <c r="F501" s="21" t="s">
        <v>55</v>
      </c>
      <c r="G501" s="21" t="s">
        <v>72</v>
      </c>
      <c r="H501" s="21" t="s">
        <v>73</v>
      </c>
      <c r="I501" s="21" t="s">
        <v>90</v>
      </c>
      <c r="J501" s="68">
        <f>+MONTH(ExpenseTable[[#This Row],[Voucher Date]])</f>
        <v>4</v>
      </c>
      <c r="K501" s="68" t="s">
        <v>238</v>
      </c>
    </row>
    <row r="502" spans="1:11" x14ac:dyDescent="0.35">
      <c r="A502" s="15">
        <v>45777</v>
      </c>
      <c r="B502" s="11" t="s">
        <v>519</v>
      </c>
      <c r="C502" s="19">
        <v>45776</v>
      </c>
      <c r="D502" s="13" t="s">
        <v>521</v>
      </c>
      <c r="E502" s="12">
        <v>400</v>
      </c>
      <c r="F502" s="21" t="s">
        <v>21</v>
      </c>
      <c r="G502" s="21" t="s">
        <v>72</v>
      </c>
      <c r="H502" s="21" t="s">
        <v>73</v>
      </c>
      <c r="I502" s="21" t="s">
        <v>90</v>
      </c>
      <c r="J502" s="68">
        <f>+MONTH(ExpenseTable[[#This Row],[Voucher Date]])</f>
        <v>4</v>
      </c>
      <c r="K502" s="68" t="s">
        <v>238</v>
      </c>
    </row>
    <row r="503" spans="1:11" x14ac:dyDescent="0.35">
      <c r="A503" s="15">
        <v>45777</v>
      </c>
      <c r="B503" s="11" t="s">
        <v>519</v>
      </c>
      <c r="C503" s="19">
        <v>45776</v>
      </c>
      <c r="D503" s="13" t="s">
        <v>520</v>
      </c>
      <c r="E503" s="12">
        <v>2000</v>
      </c>
      <c r="F503" s="21" t="s">
        <v>54</v>
      </c>
      <c r="G503" s="21" t="s">
        <v>67</v>
      </c>
      <c r="H503" s="21" t="s">
        <v>79</v>
      </c>
      <c r="I503" s="21" t="s">
        <v>90</v>
      </c>
      <c r="J503" s="68">
        <f>+MONTH(ExpenseTable[[#This Row],[Voucher Date]])</f>
        <v>4</v>
      </c>
      <c r="K503" s="68" t="s">
        <v>238</v>
      </c>
    </row>
    <row r="504" spans="1:11" x14ac:dyDescent="0.35">
      <c r="A504" s="15">
        <v>45777</v>
      </c>
      <c r="B504" s="11" t="s">
        <v>519</v>
      </c>
      <c r="C504" s="19">
        <v>45776</v>
      </c>
      <c r="D504" s="13" t="s">
        <v>288</v>
      </c>
      <c r="E504" s="12">
        <v>10000</v>
      </c>
      <c r="F504" s="21" t="s">
        <v>40</v>
      </c>
      <c r="G504" s="21" t="s">
        <v>72</v>
      </c>
      <c r="H504" s="21" t="s">
        <v>73</v>
      </c>
      <c r="I504" s="21" t="s">
        <v>90</v>
      </c>
      <c r="J504" s="68">
        <f>+MONTH(ExpenseTable[[#This Row],[Voucher Date]])</f>
        <v>4</v>
      </c>
      <c r="K504" s="68" t="s">
        <v>238</v>
      </c>
    </row>
    <row r="505" spans="1:11" x14ac:dyDescent="0.35">
      <c r="A505" s="15">
        <v>45777</v>
      </c>
      <c r="B505" s="11" t="s">
        <v>519</v>
      </c>
      <c r="C505" s="19">
        <v>45776</v>
      </c>
      <c r="D505" s="13" t="s">
        <v>522</v>
      </c>
      <c r="E505" s="12">
        <v>13500</v>
      </c>
      <c r="F505" s="21" t="s">
        <v>27</v>
      </c>
      <c r="G505" s="21" t="s">
        <v>72</v>
      </c>
      <c r="H505" s="21" t="s">
        <v>73</v>
      </c>
      <c r="I505" s="21" t="s">
        <v>90</v>
      </c>
      <c r="J505" s="68">
        <f>+MONTH(ExpenseTable[[#This Row],[Voucher Date]])</f>
        <v>4</v>
      </c>
      <c r="K505" s="68" t="s">
        <v>238</v>
      </c>
    </row>
    <row r="506" spans="1:11" x14ac:dyDescent="0.35">
      <c r="A506" s="15">
        <v>45770</v>
      </c>
      <c r="B506" s="11" t="s">
        <v>519</v>
      </c>
      <c r="C506" s="19">
        <v>45776</v>
      </c>
      <c r="D506" s="13" t="s">
        <v>133</v>
      </c>
      <c r="E506" s="12">
        <v>24000</v>
      </c>
      <c r="F506" s="21" t="s">
        <v>32</v>
      </c>
      <c r="G506" s="21" t="s">
        <v>72</v>
      </c>
      <c r="H506" s="21" t="s">
        <v>73</v>
      </c>
      <c r="I506" s="21" t="s">
        <v>90</v>
      </c>
      <c r="J506" s="68">
        <f>+MONTH(ExpenseTable[[#This Row],[Voucher Date]])</f>
        <v>4</v>
      </c>
      <c r="K506" s="68" t="s">
        <v>238</v>
      </c>
    </row>
    <row r="507" spans="1:11" x14ac:dyDescent="0.35">
      <c r="A507" s="15">
        <v>45777</v>
      </c>
      <c r="B507" s="11" t="s">
        <v>519</v>
      </c>
      <c r="C507" s="19">
        <v>45776</v>
      </c>
      <c r="D507" s="13" t="s">
        <v>133</v>
      </c>
      <c r="E507" s="12">
        <v>26700</v>
      </c>
      <c r="F507" s="21" t="s">
        <v>32</v>
      </c>
      <c r="G507" s="21" t="s">
        <v>72</v>
      </c>
      <c r="H507" s="21" t="s">
        <v>73</v>
      </c>
      <c r="I507" s="21" t="s">
        <v>90</v>
      </c>
      <c r="J507" s="68">
        <f>+MONTH(ExpenseTable[[#This Row],[Voucher Date]])</f>
        <v>4</v>
      </c>
      <c r="K507" s="68" t="s">
        <v>238</v>
      </c>
    </row>
    <row r="508" spans="1:11" x14ac:dyDescent="0.35">
      <c r="A508" s="15">
        <v>45776</v>
      </c>
      <c r="B508" s="11" t="s">
        <v>519</v>
      </c>
      <c r="C508" s="19">
        <v>45776</v>
      </c>
      <c r="D508" s="13" t="s">
        <v>129</v>
      </c>
      <c r="E508" s="12">
        <v>50000</v>
      </c>
      <c r="F508" s="21" t="s">
        <v>40</v>
      </c>
      <c r="G508" s="21" t="s">
        <v>72</v>
      </c>
      <c r="H508" s="21" t="s">
        <v>73</v>
      </c>
      <c r="I508" s="21" t="s">
        <v>90</v>
      </c>
      <c r="J508" s="68">
        <f>+MONTH(ExpenseTable[[#This Row],[Voucher Date]])</f>
        <v>4</v>
      </c>
      <c r="K508" s="68" t="s">
        <v>238</v>
      </c>
    </row>
    <row r="509" spans="1:11" x14ac:dyDescent="0.35">
      <c r="A509" s="15">
        <v>45777</v>
      </c>
      <c r="B509" s="11" t="s">
        <v>523</v>
      </c>
      <c r="C509" s="19">
        <v>45777</v>
      </c>
      <c r="D509" s="13" t="s">
        <v>524</v>
      </c>
      <c r="E509" s="12">
        <v>30000</v>
      </c>
      <c r="F509" s="21" t="s">
        <v>4</v>
      </c>
      <c r="G509" s="21" t="s">
        <v>72</v>
      </c>
      <c r="H509" s="21" t="s">
        <v>73</v>
      </c>
      <c r="I509" s="21" t="s">
        <v>91</v>
      </c>
      <c r="J509" s="68">
        <f>+MONTH(ExpenseTable[[#This Row],[Voucher Date]])</f>
        <v>4</v>
      </c>
      <c r="K509" s="68" t="s">
        <v>238</v>
      </c>
    </row>
    <row r="510" spans="1:11" x14ac:dyDescent="0.35">
      <c r="A510" s="15">
        <v>45777</v>
      </c>
      <c r="B510" s="11" t="s">
        <v>523</v>
      </c>
      <c r="C510" s="19">
        <v>45777</v>
      </c>
      <c r="D510" s="13" t="s">
        <v>455</v>
      </c>
      <c r="E510" s="12">
        <v>30000</v>
      </c>
      <c r="F510" s="21" t="s">
        <v>30</v>
      </c>
      <c r="G510" s="21" t="s">
        <v>72</v>
      </c>
      <c r="H510" s="21" t="s">
        <v>73</v>
      </c>
      <c r="I510" s="21" t="s">
        <v>91</v>
      </c>
      <c r="J510" s="68">
        <f>+MONTH(ExpenseTable[[#This Row],[Voucher Date]])</f>
        <v>4</v>
      </c>
      <c r="K510" s="68" t="s">
        <v>238</v>
      </c>
    </row>
    <row r="511" spans="1:11" x14ac:dyDescent="0.35">
      <c r="A511" s="15">
        <v>45777</v>
      </c>
      <c r="B511" s="11" t="s">
        <v>523</v>
      </c>
      <c r="C511" s="19">
        <v>45777</v>
      </c>
      <c r="D511" s="13" t="s">
        <v>525</v>
      </c>
      <c r="E511" s="12">
        <v>1763965.65</v>
      </c>
      <c r="F511" s="21" t="s">
        <v>29</v>
      </c>
      <c r="G511" s="21" t="s">
        <v>72</v>
      </c>
      <c r="H511" s="21" t="s">
        <v>73</v>
      </c>
      <c r="I511" s="21" t="s">
        <v>91</v>
      </c>
      <c r="J511" s="68">
        <f>+MONTH(ExpenseTable[[#This Row],[Voucher Date]])</f>
        <v>4</v>
      </c>
      <c r="K511" s="68" t="s">
        <v>238</v>
      </c>
    </row>
    <row r="512" spans="1:11" x14ac:dyDescent="0.35">
      <c r="A512" s="15">
        <v>45779</v>
      </c>
      <c r="B512" s="11" t="s">
        <v>526</v>
      </c>
      <c r="C512" s="19">
        <v>45779</v>
      </c>
      <c r="D512" s="13" t="s">
        <v>537</v>
      </c>
      <c r="E512" s="12">
        <v>5000</v>
      </c>
      <c r="F512" s="21" t="s">
        <v>21</v>
      </c>
      <c r="G512" s="21" t="s">
        <v>72</v>
      </c>
      <c r="H512" s="21" t="s">
        <v>73</v>
      </c>
      <c r="I512" s="21" t="s">
        <v>90</v>
      </c>
      <c r="J512" s="68">
        <f>+MONTH(ExpenseTable[[#This Row],[Voucher Date]])</f>
        <v>5</v>
      </c>
      <c r="K512" s="68" t="s">
        <v>238</v>
      </c>
    </row>
    <row r="513" spans="1:11" x14ac:dyDescent="0.35">
      <c r="A513" s="15">
        <v>45779</v>
      </c>
      <c r="B513" s="11" t="s">
        <v>526</v>
      </c>
      <c r="C513" s="19">
        <v>45779</v>
      </c>
      <c r="D513" s="13" t="s">
        <v>531</v>
      </c>
      <c r="E513" s="12">
        <v>5000</v>
      </c>
      <c r="F513" s="21" t="s">
        <v>54</v>
      </c>
      <c r="G513" s="21" t="s">
        <v>67</v>
      </c>
      <c r="H513" s="21" t="s">
        <v>79</v>
      </c>
      <c r="I513" s="21" t="s">
        <v>90</v>
      </c>
      <c r="J513" s="68">
        <f>+MONTH(ExpenseTable[[#This Row],[Voucher Date]])</f>
        <v>5</v>
      </c>
      <c r="K513" s="68" t="s">
        <v>238</v>
      </c>
    </row>
    <row r="514" spans="1:11" x14ac:dyDescent="0.35">
      <c r="A514" s="15">
        <v>45779</v>
      </c>
      <c r="B514" s="11" t="s">
        <v>526</v>
      </c>
      <c r="C514" s="19">
        <v>45779</v>
      </c>
      <c r="D514" s="13" t="s">
        <v>913</v>
      </c>
      <c r="E514" s="12">
        <v>12000</v>
      </c>
      <c r="F514" s="21" t="s">
        <v>54</v>
      </c>
      <c r="G514" s="21" t="s">
        <v>80</v>
      </c>
      <c r="H514" s="21" t="s">
        <v>81</v>
      </c>
      <c r="I514" s="21" t="s">
        <v>90</v>
      </c>
      <c r="J514" s="68">
        <f>+MONTH(ExpenseTable[[#This Row],[Voucher Date]])</f>
        <v>5</v>
      </c>
      <c r="K514" s="68" t="s">
        <v>238</v>
      </c>
    </row>
    <row r="515" spans="1:11" x14ac:dyDescent="0.35">
      <c r="A515" s="15">
        <v>45779</v>
      </c>
      <c r="B515" s="11" t="s">
        <v>526</v>
      </c>
      <c r="C515" s="19">
        <v>45779</v>
      </c>
      <c r="D515" s="13" t="s">
        <v>530</v>
      </c>
      <c r="E515" s="12">
        <v>12000</v>
      </c>
      <c r="F515" s="21" t="s">
        <v>54</v>
      </c>
      <c r="G515" s="21" t="s">
        <v>67</v>
      </c>
      <c r="H515" s="21" t="s">
        <v>79</v>
      </c>
      <c r="I515" s="21" t="s">
        <v>90</v>
      </c>
      <c r="J515" s="68">
        <f>+MONTH(ExpenseTable[[#This Row],[Voucher Date]])</f>
        <v>5</v>
      </c>
      <c r="K515" s="68" t="s">
        <v>238</v>
      </c>
    </row>
    <row r="516" spans="1:11" x14ac:dyDescent="0.35">
      <c r="A516" s="15">
        <v>45779</v>
      </c>
      <c r="B516" s="11" t="s">
        <v>526</v>
      </c>
      <c r="C516" s="19">
        <v>45779</v>
      </c>
      <c r="D516" s="13" t="s">
        <v>532</v>
      </c>
      <c r="E516" s="12">
        <v>25000</v>
      </c>
      <c r="F516" s="21" t="s">
        <v>54</v>
      </c>
      <c r="G516" s="21" t="s">
        <v>80</v>
      </c>
      <c r="H516" s="21" t="s">
        <v>81</v>
      </c>
      <c r="I516" s="21" t="s">
        <v>90</v>
      </c>
      <c r="J516" s="68">
        <f>+MONTH(ExpenseTable[[#This Row],[Voucher Date]])</f>
        <v>5</v>
      </c>
      <c r="K516" s="68" t="s">
        <v>238</v>
      </c>
    </row>
    <row r="517" spans="1:11" x14ac:dyDescent="0.35">
      <c r="A517" s="15">
        <v>45779</v>
      </c>
      <c r="B517" s="11" t="s">
        <v>526</v>
      </c>
      <c r="C517" s="19">
        <v>45779</v>
      </c>
      <c r="D517" s="13" t="s">
        <v>541</v>
      </c>
      <c r="E517" s="12">
        <v>47692.3</v>
      </c>
      <c r="F517" s="21" t="s">
        <v>29</v>
      </c>
      <c r="G517" s="21" t="s">
        <v>72</v>
      </c>
      <c r="H517" s="21" t="s">
        <v>73</v>
      </c>
      <c r="I517" s="21" t="s">
        <v>90</v>
      </c>
      <c r="J517" s="68">
        <f>+MONTH(ExpenseTable[[#This Row],[Voucher Date]])</f>
        <v>5</v>
      </c>
      <c r="K517" s="68" t="s">
        <v>238</v>
      </c>
    </row>
    <row r="518" spans="1:11" x14ac:dyDescent="0.35">
      <c r="A518" s="15">
        <v>45779</v>
      </c>
      <c r="B518" s="11" t="s">
        <v>526</v>
      </c>
      <c r="C518" s="19">
        <v>45779</v>
      </c>
      <c r="D518" s="13" t="s">
        <v>539</v>
      </c>
      <c r="E518" s="12">
        <v>59000</v>
      </c>
      <c r="F518" s="21" t="s">
        <v>22</v>
      </c>
      <c r="G518" s="21" t="s">
        <v>72</v>
      </c>
      <c r="H518" s="21" t="s">
        <v>73</v>
      </c>
      <c r="I518" s="21" t="s">
        <v>90</v>
      </c>
      <c r="J518" s="68">
        <f>+MONTH(ExpenseTable[[#This Row],[Voucher Date]])</f>
        <v>5</v>
      </c>
      <c r="K518" s="68" t="s">
        <v>238</v>
      </c>
    </row>
    <row r="519" spans="1:11" x14ac:dyDescent="0.35">
      <c r="A519" s="15">
        <v>45779</v>
      </c>
      <c r="B519" s="11" t="s">
        <v>526</v>
      </c>
      <c r="C519" s="19">
        <v>45779</v>
      </c>
      <c r="D519" s="13" t="s">
        <v>535</v>
      </c>
      <c r="E519" s="12">
        <v>74500</v>
      </c>
      <c r="F519" s="21" t="s">
        <v>85</v>
      </c>
      <c r="G519" s="21" t="s">
        <v>72</v>
      </c>
      <c r="H519" s="21" t="s">
        <v>73</v>
      </c>
      <c r="I519" s="21" t="s">
        <v>90</v>
      </c>
      <c r="J519" s="68">
        <f>+MONTH(ExpenseTable[[#This Row],[Voucher Date]])</f>
        <v>5</v>
      </c>
      <c r="K519" s="68" t="s">
        <v>238</v>
      </c>
    </row>
    <row r="520" spans="1:11" x14ac:dyDescent="0.35">
      <c r="A520" s="15">
        <v>45796</v>
      </c>
      <c r="B520" s="11" t="s">
        <v>534</v>
      </c>
      <c r="C520" s="19">
        <v>45779</v>
      </c>
      <c r="D520" s="13" t="s">
        <v>536</v>
      </c>
      <c r="E520" s="12">
        <v>20000</v>
      </c>
      <c r="F520" s="21" t="s">
        <v>21</v>
      </c>
      <c r="G520" s="21" t="s">
        <v>72</v>
      </c>
      <c r="H520" s="21" t="s">
        <v>73</v>
      </c>
      <c r="I520" s="21" t="s">
        <v>80</v>
      </c>
      <c r="J520" s="68">
        <f>+MONTH(ExpenseTable[[#This Row],[Voucher Date]])</f>
        <v>5</v>
      </c>
      <c r="K520" s="68" t="s">
        <v>238</v>
      </c>
    </row>
    <row r="521" spans="1:11" x14ac:dyDescent="0.35">
      <c r="A521" s="15">
        <v>45797</v>
      </c>
      <c r="B521" s="11" t="s">
        <v>534</v>
      </c>
      <c r="C521" s="19">
        <v>45779</v>
      </c>
      <c r="D521" s="13" t="s">
        <v>529</v>
      </c>
      <c r="E521" s="12">
        <v>244000</v>
      </c>
      <c r="F521" s="21" t="s">
        <v>54</v>
      </c>
      <c r="G521" s="21" t="s">
        <v>80</v>
      </c>
      <c r="H521" s="21" t="s">
        <v>81</v>
      </c>
      <c r="I521" s="21" t="s">
        <v>80</v>
      </c>
      <c r="J521" s="68">
        <f>+MONTH(ExpenseTable[[#This Row],[Voucher Date]])</f>
        <v>5</v>
      </c>
      <c r="K521" s="68" t="s">
        <v>238</v>
      </c>
    </row>
    <row r="522" spans="1:11" x14ac:dyDescent="0.35">
      <c r="A522" s="15">
        <v>45793</v>
      </c>
      <c r="B522" s="11" t="s">
        <v>534</v>
      </c>
      <c r="C522" s="19">
        <v>45779</v>
      </c>
      <c r="D522" s="13" t="s">
        <v>528</v>
      </c>
      <c r="E522" s="12">
        <v>396000</v>
      </c>
      <c r="F522" s="21" t="s">
        <v>54</v>
      </c>
      <c r="G522" s="21" t="s">
        <v>80</v>
      </c>
      <c r="H522" s="21" t="s">
        <v>81</v>
      </c>
      <c r="I522" s="21" t="s">
        <v>80</v>
      </c>
      <c r="J522" s="68">
        <f>+MONTH(ExpenseTable[[#This Row],[Voucher Date]])</f>
        <v>5</v>
      </c>
      <c r="K522" s="68" t="s">
        <v>238</v>
      </c>
    </row>
    <row r="523" spans="1:11" x14ac:dyDescent="0.35">
      <c r="A523" s="15">
        <v>45796</v>
      </c>
      <c r="B523" s="11" t="s">
        <v>534</v>
      </c>
      <c r="C523" s="19">
        <v>45779</v>
      </c>
      <c r="D523" s="13" t="s">
        <v>538</v>
      </c>
      <c r="E523" s="12">
        <v>950000</v>
      </c>
      <c r="F523" s="21" t="s">
        <v>22</v>
      </c>
      <c r="G523" s="21" t="s">
        <v>72</v>
      </c>
      <c r="H523" s="21" t="s">
        <v>73</v>
      </c>
      <c r="I523" s="21" t="s">
        <v>80</v>
      </c>
      <c r="J523" s="68">
        <f>+MONTH(ExpenseTable[[#This Row],[Voucher Date]])</f>
        <v>5</v>
      </c>
      <c r="K523" s="68" t="s">
        <v>238</v>
      </c>
    </row>
    <row r="524" spans="1:11" x14ac:dyDescent="0.35">
      <c r="A524" s="15">
        <v>45779</v>
      </c>
      <c r="B524" s="11" t="s">
        <v>534</v>
      </c>
      <c r="C524" s="19">
        <v>45779</v>
      </c>
      <c r="D524" s="13" t="s">
        <v>527</v>
      </c>
      <c r="E524" s="12">
        <v>1000000</v>
      </c>
      <c r="F524" s="21" t="s">
        <v>54</v>
      </c>
      <c r="G524" s="21" t="s">
        <v>80</v>
      </c>
      <c r="H524" s="21" t="s">
        <v>81</v>
      </c>
      <c r="I524" s="21" t="s">
        <v>80</v>
      </c>
      <c r="J524" s="68">
        <f>+MONTH(ExpenseTable[[#This Row],[Voucher Date]])</f>
        <v>5</v>
      </c>
      <c r="K524" s="68" t="s">
        <v>238</v>
      </c>
    </row>
    <row r="525" spans="1:11" x14ac:dyDescent="0.35">
      <c r="A525" s="15">
        <v>45780</v>
      </c>
      <c r="B525" s="11" t="s">
        <v>534</v>
      </c>
      <c r="C525" s="19">
        <v>45779</v>
      </c>
      <c r="D525" s="13" t="s">
        <v>540</v>
      </c>
      <c r="E525" s="12">
        <v>1300000</v>
      </c>
      <c r="F525" s="21" t="s">
        <v>57</v>
      </c>
      <c r="G525" s="21" t="s">
        <v>67</v>
      </c>
      <c r="H525" s="21" t="s">
        <v>79</v>
      </c>
      <c r="I525" s="21" t="s">
        <v>80</v>
      </c>
      <c r="J525" s="68">
        <f>+MONTH(ExpenseTable[[#This Row],[Voucher Date]])</f>
        <v>5</v>
      </c>
      <c r="K525" s="68" t="s">
        <v>238</v>
      </c>
    </row>
    <row r="526" spans="1:11" x14ac:dyDescent="0.35">
      <c r="A526" s="15">
        <v>45794</v>
      </c>
      <c r="B526" s="11" t="s">
        <v>534</v>
      </c>
      <c r="C526" s="19">
        <v>45779</v>
      </c>
      <c r="D526" s="13" t="s">
        <v>533</v>
      </c>
      <c r="E526" s="12">
        <v>2000000</v>
      </c>
      <c r="F526" s="21" t="s">
        <v>50</v>
      </c>
      <c r="G526" s="21" t="s">
        <v>72</v>
      </c>
      <c r="H526" s="21" t="s">
        <v>73</v>
      </c>
      <c r="I526" s="21" t="s">
        <v>80</v>
      </c>
      <c r="J526" s="68">
        <f>+MONTH(ExpenseTable[[#This Row],[Voucher Date]])</f>
        <v>5</v>
      </c>
      <c r="K526" s="68" t="s">
        <v>238</v>
      </c>
    </row>
    <row r="527" spans="1:11" x14ac:dyDescent="0.35">
      <c r="A527" s="15">
        <v>45782</v>
      </c>
      <c r="B527" s="11" t="s">
        <v>542</v>
      </c>
      <c r="C527" s="19">
        <v>45780</v>
      </c>
      <c r="D527" s="13" t="s">
        <v>270</v>
      </c>
      <c r="E527" s="12">
        <v>200</v>
      </c>
      <c r="F527" s="21" t="s">
        <v>21</v>
      </c>
      <c r="G527" s="21" t="s">
        <v>72</v>
      </c>
      <c r="H527" s="21" t="s">
        <v>73</v>
      </c>
      <c r="I527" s="21" t="s">
        <v>90</v>
      </c>
      <c r="J527" s="68">
        <f>+MONTH(ExpenseTable[[#This Row],[Voucher Date]])</f>
        <v>5</v>
      </c>
      <c r="K527" s="68" t="s">
        <v>238</v>
      </c>
    </row>
    <row r="528" spans="1:11" x14ac:dyDescent="0.35">
      <c r="A528" s="15">
        <v>45782</v>
      </c>
      <c r="B528" s="11" t="s">
        <v>542</v>
      </c>
      <c r="C528" s="19">
        <v>45780</v>
      </c>
      <c r="D528" s="13" t="s">
        <v>393</v>
      </c>
      <c r="E528" s="12">
        <v>4200</v>
      </c>
      <c r="F528" s="21" t="s">
        <v>37</v>
      </c>
      <c r="G528" s="21" t="s">
        <v>72</v>
      </c>
      <c r="H528" s="21" t="s">
        <v>73</v>
      </c>
      <c r="I528" s="21" t="s">
        <v>90</v>
      </c>
      <c r="J528" s="68">
        <f>+MONTH(ExpenseTable[[#This Row],[Voucher Date]])</f>
        <v>5</v>
      </c>
      <c r="K528" s="68" t="s">
        <v>238</v>
      </c>
    </row>
    <row r="529" spans="1:11" x14ac:dyDescent="0.35">
      <c r="A529" s="15">
        <v>45783</v>
      </c>
      <c r="B529" s="11" t="s">
        <v>542</v>
      </c>
      <c r="C529" s="19">
        <v>45780</v>
      </c>
      <c r="D529" s="13" t="s">
        <v>546</v>
      </c>
      <c r="E529" s="12">
        <v>15000</v>
      </c>
      <c r="F529" s="21" t="s">
        <v>54</v>
      </c>
      <c r="G529" s="21" t="s">
        <v>80</v>
      </c>
      <c r="H529" s="21" t="s">
        <v>81</v>
      </c>
      <c r="I529" s="21" t="s">
        <v>90</v>
      </c>
      <c r="J529" s="68">
        <f>+MONTH(ExpenseTable[[#This Row],[Voucher Date]])</f>
        <v>5</v>
      </c>
      <c r="K529" s="68" t="s">
        <v>238</v>
      </c>
    </row>
    <row r="530" spans="1:11" x14ac:dyDescent="0.35">
      <c r="A530" s="15">
        <v>45783</v>
      </c>
      <c r="B530" s="11" t="s">
        <v>542</v>
      </c>
      <c r="C530" s="19">
        <v>45780</v>
      </c>
      <c r="D530" s="13" t="s">
        <v>224</v>
      </c>
      <c r="E530" s="12">
        <v>26700</v>
      </c>
      <c r="F530" s="21" t="s">
        <v>32</v>
      </c>
      <c r="G530" s="21" t="s">
        <v>72</v>
      </c>
      <c r="H530" s="21" t="s">
        <v>73</v>
      </c>
      <c r="I530" s="21" t="s">
        <v>90</v>
      </c>
      <c r="J530" s="68">
        <f>+MONTH(ExpenseTable[[#This Row],[Voucher Date]])</f>
        <v>5</v>
      </c>
      <c r="K530" s="68" t="s">
        <v>238</v>
      </c>
    </row>
    <row r="531" spans="1:11" x14ac:dyDescent="0.35">
      <c r="A531" s="15">
        <v>45780</v>
      </c>
      <c r="B531" s="11" t="s">
        <v>542</v>
      </c>
      <c r="C531" s="19">
        <v>45780</v>
      </c>
      <c r="D531" s="13" t="s">
        <v>458</v>
      </c>
      <c r="E531" s="12">
        <v>205000</v>
      </c>
      <c r="F531" s="21" t="s">
        <v>29</v>
      </c>
      <c r="G531" s="21" t="s">
        <v>72</v>
      </c>
      <c r="H531" s="21" t="s">
        <v>73</v>
      </c>
      <c r="I531" s="21" t="s">
        <v>90</v>
      </c>
      <c r="J531" s="68">
        <f>+MONTH(ExpenseTable[[#This Row],[Voucher Date]])</f>
        <v>5</v>
      </c>
      <c r="K531" s="68" t="s">
        <v>238</v>
      </c>
    </row>
    <row r="532" spans="1:11" x14ac:dyDescent="0.35">
      <c r="A532" s="15">
        <v>45786</v>
      </c>
      <c r="B532" s="11" t="s">
        <v>549</v>
      </c>
      <c r="C532" s="19">
        <v>45780</v>
      </c>
      <c r="D532" s="13" t="s">
        <v>550</v>
      </c>
      <c r="E532" s="12">
        <v>3000</v>
      </c>
      <c r="F532" s="21" t="s">
        <v>21</v>
      </c>
      <c r="G532" s="21" t="s">
        <v>72</v>
      </c>
      <c r="H532" s="21" t="s">
        <v>73</v>
      </c>
      <c r="I532" s="21" t="s">
        <v>1123</v>
      </c>
      <c r="J532" s="68">
        <f>+MONTH(ExpenseTable[[#This Row],[Voucher Date]])</f>
        <v>5</v>
      </c>
      <c r="K532" s="68" t="s">
        <v>238</v>
      </c>
    </row>
    <row r="533" spans="1:11" x14ac:dyDescent="0.35">
      <c r="A533" s="15">
        <v>45785</v>
      </c>
      <c r="B533" s="11" t="s">
        <v>549</v>
      </c>
      <c r="C533" s="19">
        <v>45780</v>
      </c>
      <c r="D533" s="13" t="s">
        <v>548</v>
      </c>
      <c r="E533" s="12">
        <v>15000</v>
      </c>
      <c r="F533" s="21" t="s">
        <v>21</v>
      </c>
      <c r="G533" s="21" t="s">
        <v>72</v>
      </c>
      <c r="H533" s="21" t="s">
        <v>73</v>
      </c>
      <c r="I533" s="21" t="s">
        <v>1123</v>
      </c>
      <c r="J533" s="68">
        <f>+MONTH(ExpenseTable[[#This Row],[Voucher Date]])</f>
        <v>5</v>
      </c>
      <c r="K533" s="68" t="s">
        <v>238</v>
      </c>
    </row>
    <row r="534" spans="1:11" x14ac:dyDescent="0.35">
      <c r="A534" s="15">
        <v>45786</v>
      </c>
      <c r="B534" s="11" t="s">
        <v>549</v>
      </c>
      <c r="C534" s="19">
        <v>45780</v>
      </c>
      <c r="D534" s="13" t="s">
        <v>551</v>
      </c>
      <c r="E534" s="12">
        <v>50000</v>
      </c>
      <c r="F534" s="21" t="s">
        <v>5</v>
      </c>
      <c r="G534" s="21" t="s">
        <v>72</v>
      </c>
      <c r="H534" s="21" t="s">
        <v>73</v>
      </c>
      <c r="I534" s="21" t="s">
        <v>1123</v>
      </c>
      <c r="J534" s="68">
        <f>+MONTH(ExpenseTable[[#This Row],[Voucher Date]])</f>
        <v>5</v>
      </c>
      <c r="K534" s="68" t="s">
        <v>238</v>
      </c>
    </row>
    <row r="535" spans="1:11" x14ac:dyDescent="0.35">
      <c r="A535" s="15">
        <v>45780</v>
      </c>
      <c r="B535" s="11" t="s">
        <v>549</v>
      </c>
      <c r="C535" s="19">
        <v>45780</v>
      </c>
      <c r="D535" s="13" t="s">
        <v>556</v>
      </c>
      <c r="E535" s="12">
        <v>58300</v>
      </c>
      <c r="F535" s="21" t="s">
        <v>55</v>
      </c>
      <c r="G535" s="21" t="s">
        <v>72</v>
      </c>
      <c r="H535" s="21" t="s">
        <v>73</v>
      </c>
      <c r="I535" s="21" t="s">
        <v>1123</v>
      </c>
      <c r="J535" s="68">
        <f>+MONTH(ExpenseTable[[#This Row],[Voucher Date]])</f>
        <v>5</v>
      </c>
      <c r="K535" s="68" t="s">
        <v>238</v>
      </c>
    </row>
    <row r="536" spans="1:11" x14ac:dyDescent="0.35">
      <c r="A536" s="15">
        <v>45782</v>
      </c>
      <c r="B536" s="11" t="s">
        <v>549</v>
      </c>
      <c r="C536" s="19">
        <v>45780</v>
      </c>
      <c r="D536" s="13" t="s">
        <v>178</v>
      </c>
      <c r="E536" s="12">
        <v>70000</v>
      </c>
      <c r="F536" s="21" t="s">
        <v>40</v>
      </c>
      <c r="G536" s="21" t="s">
        <v>72</v>
      </c>
      <c r="H536" s="21" t="s">
        <v>73</v>
      </c>
      <c r="I536" s="21" t="s">
        <v>1123</v>
      </c>
      <c r="J536" s="68">
        <f>+MONTH(ExpenseTable[[#This Row],[Voucher Date]])</f>
        <v>5</v>
      </c>
      <c r="K536" s="68" t="s">
        <v>238</v>
      </c>
    </row>
    <row r="537" spans="1:11" x14ac:dyDescent="0.35">
      <c r="A537" s="15">
        <v>45784</v>
      </c>
      <c r="B537" s="11" t="s">
        <v>549</v>
      </c>
      <c r="C537" s="19">
        <v>45780</v>
      </c>
      <c r="D537" s="13" t="s">
        <v>552</v>
      </c>
      <c r="E537" s="12">
        <v>245900</v>
      </c>
      <c r="F537" s="21" t="s">
        <v>54</v>
      </c>
      <c r="G537" s="21" t="s">
        <v>67</v>
      </c>
      <c r="H537" s="21" t="s">
        <v>79</v>
      </c>
      <c r="I537" s="21" t="s">
        <v>1123</v>
      </c>
      <c r="J537" s="68">
        <f>+MONTH(ExpenseTable[[#This Row],[Voucher Date]])</f>
        <v>5</v>
      </c>
      <c r="K537" s="68" t="s">
        <v>238</v>
      </c>
    </row>
    <row r="538" spans="1:11" x14ac:dyDescent="0.35">
      <c r="A538" s="15">
        <v>45785</v>
      </c>
      <c r="B538" s="11" t="s">
        <v>549</v>
      </c>
      <c r="C538" s="19">
        <v>45780</v>
      </c>
      <c r="D538" s="13" t="s">
        <v>544</v>
      </c>
      <c r="E538" s="12">
        <v>299800</v>
      </c>
      <c r="F538" s="21" t="s">
        <v>54</v>
      </c>
      <c r="G538" s="21" t="s">
        <v>80</v>
      </c>
      <c r="H538" s="21" t="s">
        <v>81</v>
      </c>
      <c r="I538" s="21" t="s">
        <v>1123</v>
      </c>
      <c r="J538" s="68">
        <f>+MONTH(ExpenseTable[[#This Row],[Voucher Date]])</f>
        <v>5</v>
      </c>
      <c r="K538" s="68" t="s">
        <v>238</v>
      </c>
    </row>
    <row r="539" spans="1:11" x14ac:dyDescent="0.35">
      <c r="A539" s="15">
        <v>45780</v>
      </c>
      <c r="B539" s="11" t="s">
        <v>549</v>
      </c>
      <c r="C539" s="19">
        <v>45780</v>
      </c>
      <c r="D539" s="13" t="s">
        <v>557</v>
      </c>
      <c r="E539" s="12">
        <v>550000</v>
      </c>
      <c r="F539" s="21" t="s">
        <v>55</v>
      </c>
      <c r="G539" s="21" t="s">
        <v>72</v>
      </c>
      <c r="H539" s="21" t="s">
        <v>73</v>
      </c>
      <c r="I539" s="21" t="s">
        <v>1123</v>
      </c>
      <c r="J539" s="68">
        <f>+MONTH(ExpenseTable[[#This Row],[Voucher Date]])</f>
        <v>5</v>
      </c>
      <c r="K539" s="68" t="s">
        <v>238</v>
      </c>
    </row>
    <row r="540" spans="1:11" x14ac:dyDescent="0.35">
      <c r="A540" s="15">
        <v>45786</v>
      </c>
      <c r="B540" s="11" t="s">
        <v>864</v>
      </c>
      <c r="C540" s="19">
        <v>45780</v>
      </c>
      <c r="D540" s="13" t="s">
        <v>492</v>
      </c>
      <c r="E540" s="12">
        <v>2500</v>
      </c>
      <c r="F540" s="21" t="s">
        <v>54</v>
      </c>
      <c r="G540" s="21" t="s">
        <v>72</v>
      </c>
      <c r="H540" s="21" t="s">
        <v>73</v>
      </c>
      <c r="I540" s="21" t="s">
        <v>1123</v>
      </c>
      <c r="J540" s="68">
        <f>+MONTH(ExpenseTable[[#This Row],[Voucher Date]])</f>
        <v>5</v>
      </c>
      <c r="K540" s="68" t="s">
        <v>238</v>
      </c>
    </row>
    <row r="541" spans="1:11" x14ac:dyDescent="0.35">
      <c r="A541" s="15">
        <v>45787</v>
      </c>
      <c r="B541" s="11" t="s">
        <v>864</v>
      </c>
      <c r="C541" s="19">
        <v>45780</v>
      </c>
      <c r="D541" s="13" t="s">
        <v>555</v>
      </c>
      <c r="E541" s="12">
        <v>5000</v>
      </c>
      <c r="F541" s="21" t="s">
        <v>30</v>
      </c>
      <c r="G541" s="21" t="s">
        <v>67</v>
      </c>
      <c r="H541" s="21" t="s">
        <v>79</v>
      </c>
      <c r="I541" s="21" t="s">
        <v>1123</v>
      </c>
      <c r="J541" s="68">
        <f>+MONTH(ExpenseTable[[#This Row],[Voucher Date]])</f>
        <v>5</v>
      </c>
      <c r="K541" s="68" t="s">
        <v>238</v>
      </c>
    </row>
    <row r="542" spans="1:11" x14ac:dyDescent="0.35">
      <c r="A542" s="15">
        <v>45780</v>
      </c>
      <c r="B542" s="11" t="s">
        <v>864</v>
      </c>
      <c r="C542" s="19">
        <v>45780</v>
      </c>
      <c r="D542" s="13" t="s">
        <v>246</v>
      </c>
      <c r="E542" s="12">
        <v>8500</v>
      </c>
      <c r="F542" s="21" t="s">
        <v>23</v>
      </c>
      <c r="G542" s="21" t="s">
        <v>72</v>
      </c>
      <c r="H542" s="21" t="s">
        <v>73</v>
      </c>
      <c r="I542" s="21" t="s">
        <v>1123</v>
      </c>
      <c r="J542" s="68">
        <f>+MONTH(ExpenseTable[[#This Row],[Voucher Date]])</f>
        <v>5</v>
      </c>
      <c r="K542" s="68" t="s">
        <v>238</v>
      </c>
    </row>
    <row r="543" spans="1:11" x14ac:dyDescent="0.35">
      <c r="A543" s="15">
        <v>45786</v>
      </c>
      <c r="B543" s="11" t="s">
        <v>864</v>
      </c>
      <c r="C543" s="19">
        <v>45780</v>
      </c>
      <c r="D543" s="13" t="s">
        <v>545</v>
      </c>
      <c r="E543" s="12">
        <v>10000</v>
      </c>
      <c r="F543" s="21" t="s">
        <v>54</v>
      </c>
      <c r="G543" s="21" t="s">
        <v>67</v>
      </c>
      <c r="H543" s="21" t="s">
        <v>79</v>
      </c>
      <c r="I543" s="21" t="s">
        <v>1123</v>
      </c>
      <c r="J543" s="68">
        <f>+MONTH(ExpenseTable[[#This Row],[Voucher Date]])</f>
        <v>5</v>
      </c>
      <c r="K543" s="68" t="s">
        <v>238</v>
      </c>
    </row>
    <row r="544" spans="1:11" x14ac:dyDescent="0.35">
      <c r="A544" s="15">
        <v>45785</v>
      </c>
      <c r="B544" s="11" t="s">
        <v>864</v>
      </c>
      <c r="C544" s="19">
        <v>45780</v>
      </c>
      <c r="D544" s="13" t="s">
        <v>547</v>
      </c>
      <c r="E544" s="12">
        <v>37500</v>
      </c>
      <c r="F544" s="21" t="s">
        <v>33</v>
      </c>
      <c r="G544" s="21" t="s">
        <v>72</v>
      </c>
      <c r="H544" s="21" t="s">
        <v>73</v>
      </c>
      <c r="I544" s="21" t="s">
        <v>1123</v>
      </c>
      <c r="J544" s="68">
        <f>+MONTH(ExpenseTable[[#This Row],[Voucher Date]])</f>
        <v>5</v>
      </c>
      <c r="K544" s="68" t="s">
        <v>238</v>
      </c>
    </row>
    <row r="545" spans="1:11" x14ac:dyDescent="0.35">
      <c r="A545" s="15">
        <v>45785</v>
      </c>
      <c r="B545" s="11" t="s">
        <v>864</v>
      </c>
      <c r="C545" s="19">
        <v>45780</v>
      </c>
      <c r="D545" s="13" t="s">
        <v>554</v>
      </c>
      <c r="E545" s="12">
        <v>50100</v>
      </c>
      <c r="F545" s="21" t="s">
        <v>35</v>
      </c>
      <c r="G545" s="21" t="s">
        <v>72</v>
      </c>
      <c r="H545" s="21" t="s">
        <v>73</v>
      </c>
      <c r="I545" s="21" t="s">
        <v>1123</v>
      </c>
      <c r="J545" s="68">
        <f>+MONTH(ExpenseTable[[#This Row],[Voucher Date]])</f>
        <v>5</v>
      </c>
      <c r="K545" s="68" t="s">
        <v>238</v>
      </c>
    </row>
    <row r="546" spans="1:11" x14ac:dyDescent="0.35">
      <c r="A546" s="15">
        <v>45780</v>
      </c>
      <c r="B546" s="11" t="s">
        <v>864</v>
      </c>
      <c r="C546" s="19">
        <v>45780</v>
      </c>
      <c r="D546" s="13" t="s">
        <v>543</v>
      </c>
      <c r="E546" s="12">
        <v>71500</v>
      </c>
      <c r="F546" s="21" t="s">
        <v>54</v>
      </c>
      <c r="G546" s="21" t="s">
        <v>67</v>
      </c>
      <c r="H546" s="21" t="s">
        <v>79</v>
      </c>
      <c r="I546" s="21" t="s">
        <v>1123</v>
      </c>
      <c r="J546" s="68">
        <f>+MONTH(ExpenseTable[[#This Row],[Voucher Date]])</f>
        <v>5</v>
      </c>
      <c r="K546" s="68" t="s">
        <v>238</v>
      </c>
    </row>
    <row r="547" spans="1:11" x14ac:dyDescent="0.35">
      <c r="A547" s="15">
        <v>45780</v>
      </c>
      <c r="B547" s="11" t="s">
        <v>864</v>
      </c>
      <c r="C547" s="19">
        <v>45780</v>
      </c>
      <c r="D547" s="13" t="s">
        <v>553</v>
      </c>
      <c r="E547" s="12">
        <v>128300</v>
      </c>
      <c r="F547" s="21" t="s">
        <v>35</v>
      </c>
      <c r="G547" s="21" t="s">
        <v>72</v>
      </c>
      <c r="H547" s="21" t="s">
        <v>73</v>
      </c>
      <c r="I547" s="21" t="s">
        <v>1123</v>
      </c>
      <c r="J547" s="68">
        <f>+MONTH(ExpenseTable[[#This Row],[Voucher Date]])</f>
        <v>5</v>
      </c>
      <c r="K547" s="68" t="s">
        <v>238</v>
      </c>
    </row>
    <row r="548" spans="1:11" x14ac:dyDescent="0.35">
      <c r="A548" s="15">
        <v>45783</v>
      </c>
      <c r="B548" s="11" t="s">
        <v>558</v>
      </c>
      <c r="C548" s="19">
        <v>45783</v>
      </c>
      <c r="D548" s="13" t="s">
        <v>320</v>
      </c>
      <c r="E548" s="12">
        <v>400</v>
      </c>
      <c r="F548" s="21" t="s">
        <v>21</v>
      </c>
      <c r="G548" s="21" t="s">
        <v>72</v>
      </c>
      <c r="H548" s="21" t="s">
        <v>73</v>
      </c>
      <c r="I548" s="21" t="s">
        <v>90</v>
      </c>
      <c r="J548" s="68">
        <f>+MONTH(ExpenseTable[[#This Row],[Voucher Date]])</f>
        <v>5</v>
      </c>
      <c r="K548" s="68" t="s">
        <v>238</v>
      </c>
    </row>
    <row r="549" spans="1:11" x14ac:dyDescent="0.35">
      <c r="A549" s="15">
        <v>45783</v>
      </c>
      <c r="B549" s="11" t="s">
        <v>558</v>
      </c>
      <c r="C549" s="19">
        <v>45783</v>
      </c>
      <c r="D549" s="13" t="s">
        <v>564</v>
      </c>
      <c r="E549" s="12">
        <v>17000</v>
      </c>
      <c r="F549" s="21" t="s">
        <v>27</v>
      </c>
      <c r="G549" s="21" t="s">
        <v>72</v>
      </c>
      <c r="H549" s="21" t="s">
        <v>73</v>
      </c>
      <c r="I549" s="21" t="s">
        <v>90</v>
      </c>
      <c r="J549" s="68">
        <f>+MONTH(ExpenseTable[[#This Row],[Voucher Date]])</f>
        <v>5</v>
      </c>
      <c r="K549" s="68" t="s">
        <v>238</v>
      </c>
    </row>
    <row r="550" spans="1:11" x14ac:dyDescent="0.35">
      <c r="A550" s="15">
        <v>45783</v>
      </c>
      <c r="B550" s="11" t="s">
        <v>558</v>
      </c>
      <c r="C550" s="19">
        <v>45783</v>
      </c>
      <c r="D550" s="13" t="s">
        <v>567</v>
      </c>
      <c r="E550" s="12">
        <v>18500</v>
      </c>
      <c r="F550" s="21" t="s">
        <v>31</v>
      </c>
      <c r="G550" s="21" t="s">
        <v>72</v>
      </c>
      <c r="H550" s="21" t="s">
        <v>73</v>
      </c>
      <c r="I550" s="21" t="s">
        <v>90</v>
      </c>
      <c r="J550" s="68">
        <f>+MONTH(ExpenseTable[[#This Row],[Voucher Date]])</f>
        <v>5</v>
      </c>
      <c r="K550" s="68" t="s">
        <v>238</v>
      </c>
    </row>
    <row r="551" spans="1:11" x14ac:dyDescent="0.35">
      <c r="A551" s="15">
        <v>45783</v>
      </c>
      <c r="B551" s="11" t="s">
        <v>558</v>
      </c>
      <c r="C551" s="19">
        <v>45783</v>
      </c>
      <c r="D551" s="13" t="s">
        <v>560</v>
      </c>
      <c r="E551" s="12">
        <v>20000</v>
      </c>
      <c r="F551" s="21" t="s">
        <v>54</v>
      </c>
      <c r="G551" s="21" t="s">
        <v>67</v>
      </c>
      <c r="H551" s="21" t="s">
        <v>79</v>
      </c>
      <c r="I551" s="21" t="s">
        <v>90</v>
      </c>
      <c r="J551" s="68">
        <f>+MONTH(ExpenseTable[[#This Row],[Voucher Date]])</f>
        <v>5</v>
      </c>
      <c r="K551" s="68" t="s">
        <v>238</v>
      </c>
    </row>
    <row r="552" spans="1:11" x14ac:dyDescent="0.35">
      <c r="A552" s="15">
        <v>45783</v>
      </c>
      <c r="B552" s="11" t="s">
        <v>558</v>
      </c>
      <c r="C552" s="19">
        <v>45783</v>
      </c>
      <c r="D552" s="13" t="s">
        <v>561</v>
      </c>
      <c r="E552" s="12">
        <v>20000</v>
      </c>
      <c r="F552" s="21" t="s">
        <v>54</v>
      </c>
      <c r="G552" s="21" t="s">
        <v>67</v>
      </c>
      <c r="H552" s="21" t="s">
        <v>79</v>
      </c>
      <c r="I552" s="21" t="s">
        <v>90</v>
      </c>
      <c r="J552" s="68">
        <f>+MONTH(ExpenseTable[[#This Row],[Voucher Date]])</f>
        <v>5</v>
      </c>
      <c r="K552" s="68" t="s">
        <v>238</v>
      </c>
    </row>
    <row r="553" spans="1:11" x14ac:dyDescent="0.35">
      <c r="A553" s="15">
        <v>45785</v>
      </c>
      <c r="B553" s="11" t="s">
        <v>558</v>
      </c>
      <c r="C553" s="19">
        <v>45783</v>
      </c>
      <c r="D553" s="13" t="s">
        <v>224</v>
      </c>
      <c r="E553" s="12">
        <v>26700</v>
      </c>
      <c r="F553" s="21" t="s">
        <v>32</v>
      </c>
      <c r="G553" s="21" t="s">
        <v>72</v>
      </c>
      <c r="H553" s="21" t="s">
        <v>73</v>
      </c>
      <c r="I553" s="21" t="s">
        <v>90</v>
      </c>
      <c r="J553" s="68">
        <f>+MONTH(ExpenseTable[[#This Row],[Voucher Date]])</f>
        <v>5</v>
      </c>
      <c r="K553" s="68" t="s">
        <v>238</v>
      </c>
    </row>
    <row r="554" spans="1:11" x14ac:dyDescent="0.35">
      <c r="A554" s="15">
        <v>45783</v>
      </c>
      <c r="B554" s="11" t="s">
        <v>558</v>
      </c>
      <c r="C554" s="19">
        <v>45783</v>
      </c>
      <c r="D554" s="13" t="s">
        <v>490</v>
      </c>
      <c r="E554" s="12">
        <v>45000</v>
      </c>
      <c r="F554" s="21" t="s">
        <v>40</v>
      </c>
      <c r="G554" s="21" t="s">
        <v>72</v>
      </c>
      <c r="H554" s="21" t="s">
        <v>73</v>
      </c>
      <c r="I554" s="21" t="s">
        <v>90</v>
      </c>
      <c r="J554" s="68">
        <f>+MONTH(ExpenseTable[[#This Row],[Voucher Date]])</f>
        <v>5</v>
      </c>
      <c r="K554" s="68" t="s">
        <v>238</v>
      </c>
    </row>
    <row r="555" spans="1:11" x14ac:dyDescent="0.35">
      <c r="A555" s="15">
        <v>45783</v>
      </c>
      <c r="B555" s="11" t="s">
        <v>558</v>
      </c>
      <c r="C555" s="19">
        <v>45783</v>
      </c>
      <c r="D555" s="13" t="s">
        <v>171</v>
      </c>
      <c r="E555" s="12">
        <v>50000</v>
      </c>
      <c r="F555" s="21" t="s">
        <v>40</v>
      </c>
      <c r="G555" s="21" t="s">
        <v>72</v>
      </c>
      <c r="H555" s="21" t="s">
        <v>73</v>
      </c>
      <c r="I555" s="21" t="s">
        <v>90</v>
      </c>
      <c r="J555" s="68">
        <f>+MONTH(ExpenseTable[[#This Row],[Voucher Date]])</f>
        <v>5</v>
      </c>
      <c r="K555" s="68" t="s">
        <v>238</v>
      </c>
    </row>
    <row r="556" spans="1:11" x14ac:dyDescent="0.35">
      <c r="A556" s="15">
        <v>45784</v>
      </c>
      <c r="B556" s="11" t="s">
        <v>565</v>
      </c>
      <c r="C556" s="19">
        <v>45783</v>
      </c>
      <c r="D556" s="13" t="s">
        <v>82</v>
      </c>
      <c r="E556" s="12">
        <v>1000</v>
      </c>
      <c r="F556" s="21" t="s">
        <v>82</v>
      </c>
      <c r="G556" s="21" t="s">
        <v>72</v>
      </c>
      <c r="H556" s="21" t="s">
        <v>73</v>
      </c>
      <c r="I556" s="21" t="s">
        <v>91</v>
      </c>
      <c r="J556" s="68">
        <f>+MONTH(ExpenseTable[[#This Row],[Voucher Date]])</f>
        <v>5</v>
      </c>
      <c r="K556" s="68" t="s">
        <v>238</v>
      </c>
    </row>
    <row r="557" spans="1:11" x14ac:dyDescent="0.35">
      <c r="A557" s="15">
        <v>45784</v>
      </c>
      <c r="B557" s="11" t="s">
        <v>565</v>
      </c>
      <c r="C557" s="19">
        <v>45783</v>
      </c>
      <c r="D557" s="13" t="s">
        <v>566</v>
      </c>
      <c r="E557" s="12">
        <v>170500.03</v>
      </c>
      <c r="F557" s="21" t="s">
        <v>56</v>
      </c>
      <c r="G557" s="21" t="s">
        <v>72</v>
      </c>
      <c r="H557" s="21" t="s">
        <v>73</v>
      </c>
      <c r="I557" s="21" t="s">
        <v>91</v>
      </c>
      <c r="J557" s="68">
        <f>+MONTH(ExpenseTable[[#This Row],[Voucher Date]])</f>
        <v>5</v>
      </c>
      <c r="K557" s="68" t="s">
        <v>238</v>
      </c>
    </row>
    <row r="558" spans="1:11" x14ac:dyDescent="0.35">
      <c r="A558" s="15">
        <v>45805</v>
      </c>
      <c r="B558" s="11" t="s">
        <v>565</v>
      </c>
      <c r="C558" s="19">
        <v>45783</v>
      </c>
      <c r="D558" s="13" t="s">
        <v>559</v>
      </c>
      <c r="E558" s="12">
        <v>405000</v>
      </c>
      <c r="F558" s="21" t="s">
        <v>54</v>
      </c>
      <c r="G558" s="21" t="s">
        <v>80</v>
      </c>
      <c r="H558" s="21" t="s">
        <v>81</v>
      </c>
      <c r="I558" s="21" t="s">
        <v>91</v>
      </c>
      <c r="J558" s="68">
        <f>+MONTH(ExpenseTable[[#This Row],[Voucher Date]])</f>
        <v>5</v>
      </c>
      <c r="K558" s="68" t="s">
        <v>238</v>
      </c>
    </row>
    <row r="559" spans="1:11" x14ac:dyDescent="0.35">
      <c r="A559" s="15">
        <v>45784</v>
      </c>
      <c r="B559" s="11" t="s">
        <v>565</v>
      </c>
      <c r="C559" s="19">
        <v>45783</v>
      </c>
      <c r="D559" s="13" t="s">
        <v>568</v>
      </c>
      <c r="E559" s="12">
        <v>690658.46</v>
      </c>
      <c r="F559" s="21" t="s">
        <v>83</v>
      </c>
      <c r="G559" s="21" t="s">
        <v>72</v>
      </c>
      <c r="H559" s="21" t="s">
        <v>73</v>
      </c>
      <c r="I559" s="21" t="s">
        <v>91</v>
      </c>
      <c r="J559" s="68">
        <f>+MONTH(ExpenseTable[[#This Row],[Voucher Date]])</f>
        <v>5</v>
      </c>
      <c r="K559" s="68" t="s">
        <v>238</v>
      </c>
    </row>
    <row r="560" spans="1:11" x14ac:dyDescent="0.35">
      <c r="A560" s="15">
        <v>45804</v>
      </c>
      <c r="B560" s="11" t="s">
        <v>565</v>
      </c>
      <c r="C560" s="19">
        <v>45783</v>
      </c>
      <c r="D560" s="13" t="s">
        <v>563</v>
      </c>
      <c r="E560" s="12">
        <v>850000</v>
      </c>
      <c r="F560" s="21" t="s">
        <v>50</v>
      </c>
      <c r="G560" s="21" t="s">
        <v>72</v>
      </c>
      <c r="H560" s="21" t="s">
        <v>73</v>
      </c>
      <c r="I560" s="21" t="s">
        <v>91</v>
      </c>
      <c r="J560" s="68">
        <f>+MONTH(ExpenseTable[[#This Row],[Voucher Date]])</f>
        <v>5</v>
      </c>
      <c r="K560" s="68" t="s">
        <v>238</v>
      </c>
    </row>
    <row r="561" spans="1:11" x14ac:dyDescent="0.35">
      <c r="A561" s="15">
        <v>45783</v>
      </c>
      <c r="B561" s="11" t="s">
        <v>565</v>
      </c>
      <c r="C561" s="19">
        <v>45783</v>
      </c>
      <c r="D561" s="13" t="s">
        <v>1301</v>
      </c>
      <c r="E561" s="12">
        <v>1400000</v>
      </c>
      <c r="F561" s="21" t="s">
        <v>96</v>
      </c>
      <c r="G561" s="21" t="s">
        <v>72</v>
      </c>
      <c r="H561" s="21" t="s">
        <v>73</v>
      </c>
      <c r="I561" s="21" t="s">
        <v>91</v>
      </c>
      <c r="J561" s="68">
        <f>+MONTH(ExpenseTable[[#This Row],[Voucher Date]])</f>
        <v>5</v>
      </c>
      <c r="K561" s="68" t="s">
        <v>238</v>
      </c>
    </row>
    <row r="562" spans="1:11" x14ac:dyDescent="0.35">
      <c r="A562" s="15">
        <v>45783</v>
      </c>
      <c r="B562" s="11" t="s">
        <v>565</v>
      </c>
      <c r="C562" s="19">
        <v>45783</v>
      </c>
      <c r="D562" s="13" t="s">
        <v>1301</v>
      </c>
      <c r="E562" s="12">
        <v>1568000</v>
      </c>
      <c r="F562" s="21" t="s">
        <v>96</v>
      </c>
      <c r="G562" s="21" t="s">
        <v>72</v>
      </c>
      <c r="H562" s="21" t="s">
        <v>73</v>
      </c>
      <c r="I562" s="21" t="s">
        <v>91</v>
      </c>
      <c r="J562" s="68">
        <f>+MONTH(ExpenseTable[[#This Row],[Voucher Date]])</f>
        <v>5</v>
      </c>
      <c r="K562" s="68" t="s">
        <v>238</v>
      </c>
    </row>
    <row r="563" spans="1:11" x14ac:dyDescent="0.35">
      <c r="A563" s="15">
        <v>45783</v>
      </c>
      <c r="B563" s="11" t="s">
        <v>565</v>
      </c>
      <c r="C563" s="19">
        <v>45783</v>
      </c>
      <c r="D563" s="13" t="s">
        <v>562</v>
      </c>
      <c r="E563" s="12">
        <v>2500000</v>
      </c>
      <c r="F563" s="21" t="s">
        <v>50</v>
      </c>
      <c r="G563" s="21" t="s">
        <v>72</v>
      </c>
      <c r="H563" s="21" t="s">
        <v>73</v>
      </c>
      <c r="I563" s="21" t="s">
        <v>91</v>
      </c>
      <c r="J563" s="68">
        <f>+MONTH(ExpenseTable[[#This Row],[Voucher Date]])</f>
        <v>5</v>
      </c>
      <c r="K563" s="68" t="s">
        <v>238</v>
      </c>
    </row>
    <row r="564" spans="1:11" x14ac:dyDescent="0.35">
      <c r="A564" s="15">
        <v>45785</v>
      </c>
      <c r="B564" s="11" t="s">
        <v>569</v>
      </c>
      <c r="C564" s="19">
        <v>45785</v>
      </c>
      <c r="D564" s="13" t="s">
        <v>573</v>
      </c>
      <c r="E564" s="12">
        <v>2000</v>
      </c>
      <c r="F564" s="21" t="s">
        <v>21</v>
      </c>
      <c r="G564" s="21" t="s">
        <v>72</v>
      </c>
      <c r="H564" s="21" t="s">
        <v>73</v>
      </c>
      <c r="I564" s="21" t="s">
        <v>90</v>
      </c>
      <c r="J564" s="68">
        <f>+MONTH(ExpenseTable[[#This Row],[Voucher Date]])</f>
        <v>5</v>
      </c>
      <c r="K564" s="68" t="s">
        <v>238</v>
      </c>
    </row>
    <row r="565" spans="1:11" x14ac:dyDescent="0.35">
      <c r="A565" s="15">
        <v>45785</v>
      </c>
      <c r="B565" s="11" t="s">
        <v>569</v>
      </c>
      <c r="C565" s="19">
        <v>45785</v>
      </c>
      <c r="D565" s="13" t="s">
        <v>570</v>
      </c>
      <c r="E565" s="12">
        <v>2000</v>
      </c>
      <c r="F565" s="21" t="s">
        <v>54</v>
      </c>
      <c r="G565" s="21" t="s">
        <v>67</v>
      </c>
      <c r="H565" s="21" t="s">
        <v>79</v>
      </c>
      <c r="I565" s="21" t="s">
        <v>90</v>
      </c>
      <c r="J565" s="68">
        <f>+MONTH(ExpenseTable[[#This Row],[Voucher Date]])</f>
        <v>5</v>
      </c>
      <c r="K565" s="68" t="s">
        <v>238</v>
      </c>
    </row>
    <row r="566" spans="1:11" x14ac:dyDescent="0.35">
      <c r="A566" s="15">
        <v>45785</v>
      </c>
      <c r="B566" s="11" t="s">
        <v>569</v>
      </c>
      <c r="C566" s="19">
        <v>45785</v>
      </c>
      <c r="D566" s="13" t="s">
        <v>571</v>
      </c>
      <c r="E566" s="12">
        <v>2000</v>
      </c>
      <c r="F566" s="21" t="s">
        <v>54</v>
      </c>
      <c r="G566" s="21" t="s">
        <v>67</v>
      </c>
      <c r="H566" s="21" t="s">
        <v>228</v>
      </c>
      <c r="I566" s="21" t="s">
        <v>90</v>
      </c>
      <c r="J566" s="68">
        <f>+MONTH(ExpenseTable[[#This Row],[Voucher Date]])</f>
        <v>5</v>
      </c>
      <c r="K566" s="68" t="s">
        <v>238</v>
      </c>
    </row>
    <row r="567" spans="1:11" x14ac:dyDescent="0.35">
      <c r="A567" s="15">
        <v>45780</v>
      </c>
      <c r="B567" s="11" t="s">
        <v>569</v>
      </c>
      <c r="C567" s="19">
        <v>45785</v>
      </c>
      <c r="D567" s="13" t="s">
        <v>384</v>
      </c>
      <c r="E567" s="12">
        <v>10000</v>
      </c>
      <c r="F567" s="21" t="s">
        <v>54</v>
      </c>
      <c r="G567" s="21" t="s">
        <v>67</v>
      </c>
      <c r="H567" s="21" t="s">
        <v>79</v>
      </c>
      <c r="I567" s="21" t="s">
        <v>90</v>
      </c>
      <c r="J567" s="68">
        <f>+MONTH(ExpenseTable[[#This Row],[Voucher Date]])</f>
        <v>5</v>
      </c>
      <c r="K567" s="68" t="s">
        <v>238</v>
      </c>
    </row>
    <row r="568" spans="1:11" x14ac:dyDescent="0.35">
      <c r="A568" s="15">
        <v>45785</v>
      </c>
      <c r="B568" s="11" t="s">
        <v>569</v>
      </c>
      <c r="C568" s="19">
        <v>45785</v>
      </c>
      <c r="D568" s="13" t="s">
        <v>288</v>
      </c>
      <c r="E568" s="12">
        <v>25000</v>
      </c>
      <c r="F568" s="21" t="s">
        <v>40</v>
      </c>
      <c r="G568" s="21" t="s">
        <v>72</v>
      </c>
      <c r="H568" s="21" t="s">
        <v>73</v>
      </c>
      <c r="I568" s="21" t="s">
        <v>90</v>
      </c>
      <c r="J568" s="68">
        <f>+MONTH(ExpenseTable[[#This Row],[Voucher Date]])</f>
        <v>5</v>
      </c>
      <c r="K568" s="68" t="s">
        <v>238</v>
      </c>
    </row>
    <row r="569" spans="1:11" x14ac:dyDescent="0.35">
      <c r="A569" s="15">
        <v>45786</v>
      </c>
      <c r="B569" s="11" t="s">
        <v>569</v>
      </c>
      <c r="C569" s="19">
        <v>45785</v>
      </c>
      <c r="D569" s="13" t="s">
        <v>572</v>
      </c>
      <c r="E569" s="12">
        <v>40000</v>
      </c>
      <c r="F569" s="21" t="s">
        <v>54</v>
      </c>
      <c r="G569" s="21" t="s">
        <v>67</v>
      </c>
      <c r="H569" s="21" t="s">
        <v>79</v>
      </c>
      <c r="I569" s="21" t="s">
        <v>90</v>
      </c>
      <c r="J569" s="68">
        <f>+MONTH(ExpenseTable[[#This Row],[Voucher Date]])</f>
        <v>5</v>
      </c>
      <c r="K569" s="68" t="s">
        <v>238</v>
      </c>
    </row>
    <row r="570" spans="1:11" x14ac:dyDescent="0.35">
      <c r="A570" s="15">
        <v>45785</v>
      </c>
      <c r="B570" s="11" t="s">
        <v>569</v>
      </c>
      <c r="C570" s="19">
        <v>45785</v>
      </c>
      <c r="D570" s="13" t="s">
        <v>574</v>
      </c>
      <c r="E570" s="12">
        <v>44000</v>
      </c>
      <c r="F570" s="21" t="s">
        <v>22</v>
      </c>
      <c r="G570" s="21" t="s">
        <v>72</v>
      </c>
      <c r="H570" s="21" t="s">
        <v>73</v>
      </c>
      <c r="I570" s="21" t="s">
        <v>90</v>
      </c>
      <c r="J570" s="68">
        <f>+MONTH(ExpenseTable[[#This Row],[Voucher Date]])</f>
        <v>5</v>
      </c>
      <c r="K570" s="68" t="s">
        <v>238</v>
      </c>
    </row>
    <row r="571" spans="1:11" x14ac:dyDescent="0.35">
      <c r="A571" s="15">
        <v>45786</v>
      </c>
      <c r="B571" s="11" t="s">
        <v>575</v>
      </c>
      <c r="C571" s="19">
        <v>45786</v>
      </c>
      <c r="D571" s="13" t="s">
        <v>579</v>
      </c>
      <c r="E571" s="12">
        <v>4000</v>
      </c>
      <c r="F571" s="21" t="s">
        <v>21</v>
      </c>
      <c r="G571" s="21" t="s">
        <v>72</v>
      </c>
      <c r="H571" s="21" t="s">
        <v>73</v>
      </c>
      <c r="I571" s="21" t="s">
        <v>90</v>
      </c>
      <c r="J571" s="68">
        <f>+MONTH(ExpenseTable[[#This Row],[Voucher Date]])</f>
        <v>5</v>
      </c>
      <c r="K571" s="68" t="s">
        <v>238</v>
      </c>
    </row>
    <row r="572" spans="1:11" x14ac:dyDescent="0.35">
      <c r="A572" s="15">
        <v>45786</v>
      </c>
      <c r="B572" s="11" t="s">
        <v>575</v>
      </c>
      <c r="C572" s="19">
        <v>45786</v>
      </c>
      <c r="D572" s="13" t="s">
        <v>586</v>
      </c>
      <c r="E572" s="12">
        <v>9000</v>
      </c>
      <c r="F572" s="21" t="s">
        <v>55</v>
      </c>
      <c r="G572" s="21" t="s">
        <v>67</v>
      </c>
      <c r="H572" s="21" t="s">
        <v>79</v>
      </c>
      <c r="I572" s="21" t="s">
        <v>90</v>
      </c>
      <c r="J572" s="68">
        <f>+MONTH(ExpenseTable[[#This Row],[Voucher Date]])</f>
        <v>5</v>
      </c>
      <c r="K572" s="68" t="s">
        <v>238</v>
      </c>
    </row>
    <row r="573" spans="1:11" x14ac:dyDescent="0.35">
      <c r="A573" s="15">
        <v>45786</v>
      </c>
      <c r="B573" s="11" t="s">
        <v>575</v>
      </c>
      <c r="C573" s="19">
        <v>45786</v>
      </c>
      <c r="D573" s="13" t="s">
        <v>585</v>
      </c>
      <c r="E573" s="12">
        <v>15000</v>
      </c>
      <c r="F573" s="21" t="s">
        <v>30</v>
      </c>
      <c r="G573" s="21" t="s">
        <v>72</v>
      </c>
      <c r="H573" s="21" t="s">
        <v>73</v>
      </c>
      <c r="I573" s="21" t="s">
        <v>90</v>
      </c>
      <c r="J573" s="68">
        <f>+MONTH(ExpenseTable[[#This Row],[Voucher Date]])</f>
        <v>5</v>
      </c>
      <c r="K573" s="68" t="s">
        <v>238</v>
      </c>
    </row>
    <row r="574" spans="1:11" x14ac:dyDescent="0.35">
      <c r="A574" s="15">
        <v>45786</v>
      </c>
      <c r="B574" s="11" t="s">
        <v>575</v>
      </c>
      <c r="C574" s="19">
        <v>45786</v>
      </c>
      <c r="D574" s="13" t="s">
        <v>584</v>
      </c>
      <c r="E574" s="12">
        <v>20000</v>
      </c>
      <c r="F574" s="21" t="s">
        <v>35</v>
      </c>
      <c r="G574" s="21" t="s">
        <v>67</v>
      </c>
      <c r="H574" s="21" t="s">
        <v>79</v>
      </c>
      <c r="I574" s="21" t="s">
        <v>90</v>
      </c>
      <c r="J574" s="68">
        <f>+MONTH(ExpenseTable[[#This Row],[Voucher Date]])</f>
        <v>5</v>
      </c>
      <c r="K574" s="68" t="s">
        <v>238</v>
      </c>
    </row>
    <row r="575" spans="1:11" x14ac:dyDescent="0.35">
      <c r="A575" s="15">
        <v>45786</v>
      </c>
      <c r="B575" s="11" t="s">
        <v>575</v>
      </c>
      <c r="C575" s="19">
        <v>45786</v>
      </c>
      <c r="D575" s="13" t="s">
        <v>577</v>
      </c>
      <c r="E575" s="12">
        <v>51000</v>
      </c>
      <c r="F575" s="21" t="s">
        <v>54</v>
      </c>
      <c r="G575" s="21" t="s">
        <v>80</v>
      </c>
      <c r="H575" s="21" t="s">
        <v>81</v>
      </c>
      <c r="I575" s="21" t="s">
        <v>90</v>
      </c>
      <c r="J575" s="68">
        <f>+MONTH(ExpenseTable[[#This Row],[Voucher Date]])</f>
        <v>5</v>
      </c>
      <c r="K575" s="68" t="s">
        <v>238</v>
      </c>
    </row>
    <row r="576" spans="1:11" x14ac:dyDescent="0.35">
      <c r="A576" s="15">
        <v>45786</v>
      </c>
      <c r="B576" s="11" t="s">
        <v>575</v>
      </c>
      <c r="C576" s="19">
        <v>45786</v>
      </c>
      <c r="D576" s="13" t="s">
        <v>582</v>
      </c>
      <c r="E576" s="12">
        <v>62500</v>
      </c>
      <c r="F576" s="21" t="s">
        <v>40</v>
      </c>
      <c r="G576" s="21" t="s">
        <v>67</v>
      </c>
      <c r="H576" s="21" t="s">
        <v>79</v>
      </c>
      <c r="I576" s="21" t="s">
        <v>90</v>
      </c>
      <c r="J576" s="68">
        <f>+MONTH(ExpenseTable[[#This Row],[Voucher Date]])</f>
        <v>5</v>
      </c>
      <c r="K576" s="68" t="s">
        <v>238</v>
      </c>
    </row>
    <row r="577" spans="1:11" x14ac:dyDescent="0.35">
      <c r="A577" s="15">
        <v>45789</v>
      </c>
      <c r="B577" s="11" t="s">
        <v>865</v>
      </c>
      <c r="C577" s="19">
        <v>45786</v>
      </c>
      <c r="D577" s="13" t="s">
        <v>583</v>
      </c>
      <c r="E577" s="12">
        <v>5000</v>
      </c>
      <c r="F577" s="21" t="s">
        <v>35</v>
      </c>
      <c r="G577" s="21" t="s">
        <v>72</v>
      </c>
      <c r="H577" s="21" t="s">
        <v>73</v>
      </c>
      <c r="I577" s="21" t="s">
        <v>1123</v>
      </c>
      <c r="J577" s="68">
        <f>+MONTH(ExpenseTable[[#This Row],[Voucher Date]])</f>
        <v>5</v>
      </c>
      <c r="K577" s="68" t="s">
        <v>238</v>
      </c>
    </row>
    <row r="578" spans="1:11" x14ac:dyDescent="0.35">
      <c r="A578" s="15">
        <v>45786</v>
      </c>
      <c r="B578" s="11" t="s">
        <v>865</v>
      </c>
      <c r="C578" s="19">
        <v>45786</v>
      </c>
      <c r="D578" s="13" t="s">
        <v>578</v>
      </c>
      <c r="E578" s="12">
        <v>30425.97</v>
      </c>
      <c r="F578" s="21" t="s">
        <v>87</v>
      </c>
      <c r="G578" s="21" t="s">
        <v>72</v>
      </c>
      <c r="H578" s="21" t="s">
        <v>73</v>
      </c>
      <c r="I578" s="21" t="s">
        <v>1123</v>
      </c>
      <c r="J578" s="68">
        <f>+MONTH(ExpenseTable[[#This Row],[Voucher Date]])</f>
        <v>5</v>
      </c>
      <c r="K578" s="68" t="s">
        <v>238</v>
      </c>
    </row>
    <row r="579" spans="1:11" x14ac:dyDescent="0.35">
      <c r="A579" s="15">
        <v>45789</v>
      </c>
      <c r="B579" s="11" t="s">
        <v>865</v>
      </c>
      <c r="C579" s="19">
        <v>45786</v>
      </c>
      <c r="D579" s="13" t="s">
        <v>545</v>
      </c>
      <c r="E579" s="12">
        <v>36000</v>
      </c>
      <c r="F579" s="21" t="s">
        <v>54</v>
      </c>
      <c r="G579" s="21" t="s">
        <v>67</v>
      </c>
      <c r="H579" s="21" t="s">
        <v>79</v>
      </c>
      <c r="I579" s="21" t="s">
        <v>1123</v>
      </c>
      <c r="J579" s="68">
        <f>+MONTH(ExpenseTable[[#This Row],[Voucher Date]])</f>
        <v>5</v>
      </c>
      <c r="K579" s="68" t="s">
        <v>238</v>
      </c>
    </row>
    <row r="580" spans="1:11" x14ac:dyDescent="0.35">
      <c r="A580" s="15">
        <v>45787</v>
      </c>
      <c r="B580" s="11" t="s">
        <v>865</v>
      </c>
      <c r="C580" s="19">
        <v>45786</v>
      </c>
      <c r="D580" s="13" t="s">
        <v>581</v>
      </c>
      <c r="E580" s="12">
        <v>40000</v>
      </c>
      <c r="F580" s="21" t="s">
        <v>22</v>
      </c>
      <c r="G580" s="21" t="s">
        <v>72</v>
      </c>
      <c r="H580" s="21" t="s">
        <v>73</v>
      </c>
      <c r="I580" s="21" t="s">
        <v>1123</v>
      </c>
      <c r="J580" s="68">
        <f>+MONTH(ExpenseTable[[#This Row],[Voucher Date]])</f>
        <v>5</v>
      </c>
      <c r="K580" s="68" t="s">
        <v>238</v>
      </c>
    </row>
    <row r="581" spans="1:11" x14ac:dyDescent="0.35">
      <c r="A581" s="15">
        <v>45789</v>
      </c>
      <c r="B581" s="11" t="s">
        <v>865</v>
      </c>
      <c r="C581" s="19">
        <v>45786</v>
      </c>
      <c r="D581" s="13" t="s">
        <v>189</v>
      </c>
      <c r="E581" s="12">
        <v>70000</v>
      </c>
      <c r="F581" s="21" t="s">
        <v>40</v>
      </c>
      <c r="G581" s="21" t="s">
        <v>72</v>
      </c>
      <c r="H581" s="21" t="s">
        <v>73</v>
      </c>
      <c r="I581" s="21" t="s">
        <v>1123</v>
      </c>
      <c r="J581" s="68">
        <f>+MONTH(ExpenseTable[[#This Row],[Voucher Date]])</f>
        <v>5</v>
      </c>
      <c r="K581" s="68" t="s">
        <v>238</v>
      </c>
    </row>
    <row r="582" spans="1:11" x14ac:dyDescent="0.35">
      <c r="A582" s="15">
        <v>45789</v>
      </c>
      <c r="B582" s="11" t="s">
        <v>865</v>
      </c>
      <c r="C582" s="19">
        <v>45786</v>
      </c>
      <c r="D582" s="13" t="s">
        <v>580</v>
      </c>
      <c r="E582" s="12">
        <v>100000</v>
      </c>
      <c r="F582" s="21" t="s">
        <v>37</v>
      </c>
      <c r="G582" s="21" t="s">
        <v>72</v>
      </c>
      <c r="H582" s="21" t="s">
        <v>73</v>
      </c>
      <c r="I582" s="21" t="s">
        <v>1123</v>
      </c>
      <c r="J582" s="68">
        <f>+MONTH(ExpenseTable[[#This Row],[Voucher Date]])</f>
        <v>5</v>
      </c>
      <c r="K582" s="68" t="s">
        <v>238</v>
      </c>
    </row>
    <row r="583" spans="1:11" x14ac:dyDescent="0.35">
      <c r="A583" s="15">
        <v>45789</v>
      </c>
      <c r="B583" s="11" t="s">
        <v>865</v>
      </c>
      <c r="C583" s="19">
        <v>45786</v>
      </c>
      <c r="D583" s="13" t="s">
        <v>576</v>
      </c>
      <c r="E583" s="12">
        <v>2500000</v>
      </c>
      <c r="F583" s="21" t="s">
        <v>54</v>
      </c>
      <c r="G583" s="21" t="s">
        <v>80</v>
      </c>
      <c r="H583" s="21" t="s">
        <v>81</v>
      </c>
      <c r="I583" s="21" t="s">
        <v>1123</v>
      </c>
      <c r="J583" s="68">
        <f>+MONTH(ExpenseTable[[#This Row],[Voucher Date]])</f>
        <v>5</v>
      </c>
      <c r="K583" s="68" t="s">
        <v>238</v>
      </c>
    </row>
    <row r="584" spans="1:11" x14ac:dyDescent="0.35">
      <c r="A584" s="15">
        <v>45789</v>
      </c>
      <c r="B584" s="11" t="s">
        <v>587</v>
      </c>
      <c r="C584" s="19">
        <v>45789</v>
      </c>
      <c r="D584" s="13" t="s">
        <v>470</v>
      </c>
      <c r="E584" s="12">
        <v>400</v>
      </c>
      <c r="F584" s="21" t="s">
        <v>21</v>
      </c>
      <c r="G584" s="21" t="s">
        <v>72</v>
      </c>
      <c r="H584" s="21" t="s">
        <v>73</v>
      </c>
      <c r="I584" s="21" t="s">
        <v>90</v>
      </c>
      <c r="J584" s="68">
        <f>+MONTH(ExpenseTable[[#This Row],[Voucher Date]])</f>
        <v>5</v>
      </c>
      <c r="K584" s="68" t="s">
        <v>238</v>
      </c>
    </row>
    <row r="585" spans="1:11" x14ac:dyDescent="0.35">
      <c r="A585" s="15">
        <v>45789</v>
      </c>
      <c r="B585" s="11" t="s">
        <v>587</v>
      </c>
      <c r="C585" s="19">
        <v>45789</v>
      </c>
      <c r="D585" s="13" t="s">
        <v>590</v>
      </c>
      <c r="E585" s="12">
        <v>1000</v>
      </c>
      <c r="F585" s="21" t="s">
        <v>21</v>
      </c>
      <c r="G585" s="21" t="s">
        <v>72</v>
      </c>
      <c r="H585" s="21" t="s">
        <v>73</v>
      </c>
      <c r="I585" s="21" t="s">
        <v>90</v>
      </c>
      <c r="J585" s="68">
        <f>+MONTH(ExpenseTable[[#This Row],[Voucher Date]])</f>
        <v>5</v>
      </c>
      <c r="K585" s="68" t="s">
        <v>238</v>
      </c>
    </row>
    <row r="586" spans="1:11" x14ac:dyDescent="0.35">
      <c r="A586" s="15">
        <v>45789</v>
      </c>
      <c r="B586" s="11" t="s">
        <v>587</v>
      </c>
      <c r="C586" s="19">
        <v>45789</v>
      </c>
      <c r="D586" s="13" t="s">
        <v>588</v>
      </c>
      <c r="E586" s="12">
        <v>1500</v>
      </c>
      <c r="F586" s="21" t="s">
        <v>33</v>
      </c>
      <c r="G586" s="21" t="s">
        <v>72</v>
      </c>
      <c r="H586" s="21" t="s">
        <v>73</v>
      </c>
      <c r="I586" s="21" t="s">
        <v>90</v>
      </c>
      <c r="J586" s="68">
        <f>+MONTH(ExpenseTable[[#This Row],[Voucher Date]])</f>
        <v>5</v>
      </c>
      <c r="K586" s="68" t="s">
        <v>238</v>
      </c>
    </row>
    <row r="587" spans="1:11" x14ac:dyDescent="0.35">
      <c r="A587" s="15">
        <v>45789</v>
      </c>
      <c r="B587" s="11" t="s">
        <v>587</v>
      </c>
      <c r="C587" s="19">
        <v>45789</v>
      </c>
      <c r="D587" s="13" t="s">
        <v>594</v>
      </c>
      <c r="E587" s="12">
        <v>2600</v>
      </c>
      <c r="F587" s="21" t="s">
        <v>55</v>
      </c>
      <c r="G587" s="21" t="s">
        <v>72</v>
      </c>
      <c r="H587" s="21" t="s">
        <v>73</v>
      </c>
      <c r="I587" s="21" t="s">
        <v>90</v>
      </c>
      <c r="J587" s="68">
        <f>+MONTH(ExpenseTable[[#This Row],[Voucher Date]])</f>
        <v>5</v>
      </c>
      <c r="K587" s="68" t="s">
        <v>238</v>
      </c>
    </row>
    <row r="588" spans="1:11" x14ac:dyDescent="0.35">
      <c r="A588" s="15">
        <v>45789</v>
      </c>
      <c r="B588" s="11" t="s">
        <v>587</v>
      </c>
      <c r="C588" s="19">
        <v>45789</v>
      </c>
      <c r="D588" s="13" t="s">
        <v>589</v>
      </c>
      <c r="E588" s="12">
        <v>5000</v>
      </c>
      <c r="F588" s="21" t="s">
        <v>21</v>
      </c>
      <c r="G588" s="21" t="s">
        <v>72</v>
      </c>
      <c r="H588" s="21" t="s">
        <v>73</v>
      </c>
      <c r="I588" s="21" t="s">
        <v>90</v>
      </c>
      <c r="J588" s="68">
        <f>+MONTH(ExpenseTable[[#This Row],[Voucher Date]])</f>
        <v>5</v>
      </c>
      <c r="K588" s="68" t="s">
        <v>238</v>
      </c>
    </row>
    <row r="589" spans="1:11" x14ac:dyDescent="0.35">
      <c r="A589" s="15">
        <v>45789</v>
      </c>
      <c r="B589" s="11" t="s">
        <v>587</v>
      </c>
      <c r="C589" s="19">
        <v>45789</v>
      </c>
      <c r="D589" s="13" t="s">
        <v>591</v>
      </c>
      <c r="E589" s="12">
        <v>9360</v>
      </c>
      <c r="F589" s="21" t="s">
        <v>37</v>
      </c>
      <c r="G589" s="21" t="s">
        <v>72</v>
      </c>
      <c r="H589" s="21" t="s">
        <v>73</v>
      </c>
      <c r="I589" s="21" t="s">
        <v>1123</v>
      </c>
      <c r="J589" s="68">
        <f>+MONTH(ExpenseTable[[#This Row],[Voucher Date]])</f>
        <v>5</v>
      </c>
      <c r="K589" s="68" t="s">
        <v>238</v>
      </c>
    </row>
    <row r="590" spans="1:11" x14ac:dyDescent="0.35">
      <c r="A590" s="15">
        <v>45789</v>
      </c>
      <c r="B590" s="11" t="s">
        <v>587</v>
      </c>
      <c r="C590" s="19">
        <v>45789</v>
      </c>
      <c r="D590" s="13" t="s">
        <v>592</v>
      </c>
      <c r="E590" s="12">
        <v>10000</v>
      </c>
      <c r="F590" s="21" t="s">
        <v>22</v>
      </c>
      <c r="G590" s="21" t="s">
        <v>72</v>
      </c>
      <c r="H590" s="21" t="s">
        <v>73</v>
      </c>
      <c r="I590" s="21" t="s">
        <v>90</v>
      </c>
      <c r="J590" s="68">
        <f>+MONTH(ExpenseTable[[#This Row],[Voucher Date]])</f>
        <v>5</v>
      </c>
      <c r="K590" s="68" t="s">
        <v>238</v>
      </c>
    </row>
    <row r="591" spans="1:11" x14ac:dyDescent="0.35">
      <c r="A591" s="15">
        <v>45789</v>
      </c>
      <c r="B591" s="11" t="s">
        <v>587</v>
      </c>
      <c r="C591" s="19">
        <v>45789</v>
      </c>
      <c r="D591" s="13" t="s">
        <v>593</v>
      </c>
      <c r="E591" s="12">
        <v>30000</v>
      </c>
      <c r="F591" s="21" t="s">
        <v>30</v>
      </c>
      <c r="G591" s="21" t="s">
        <v>67</v>
      </c>
      <c r="H591" s="21" t="s">
        <v>79</v>
      </c>
      <c r="I591" s="21" t="s">
        <v>90</v>
      </c>
      <c r="J591" s="68">
        <f>+MONTH(ExpenseTable[[#This Row],[Voucher Date]])</f>
        <v>5</v>
      </c>
      <c r="K591" s="68" t="s">
        <v>238</v>
      </c>
    </row>
    <row r="592" spans="1:11" x14ac:dyDescent="0.35">
      <c r="A592" s="15">
        <v>45797</v>
      </c>
      <c r="B592" s="11" t="s">
        <v>866</v>
      </c>
      <c r="C592" s="19">
        <v>45789</v>
      </c>
      <c r="D592" s="13" t="s">
        <v>363</v>
      </c>
      <c r="E592" s="12">
        <v>6500</v>
      </c>
      <c r="F592" s="21" t="s">
        <v>5</v>
      </c>
      <c r="G592" s="21" t="s">
        <v>72</v>
      </c>
      <c r="H592" s="21" t="s">
        <v>73</v>
      </c>
      <c r="I592" s="21" t="s">
        <v>92</v>
      </c>
      <c r="J592" s="68">
        <f>+MONTH(ExpenseTable[[#This Row],[Voucher Date]])</f>
        <v>5</v>
      </c>
      <c r="K592" s="68" t="s">
        <v>238</v>
      </c>
    </row>
    <row r="593" spans="1:11" x14ac:dyDescent="0.35">
      <c r="A593" s="15">
        <v>45804</v>
      </c>
      <c r="B593" s="11" t="s">
        <v>866</v>
      </c>
      <c r="C593" s="19">
        <v>45789</v>
      </c>
      <c r="D593" s="13" t="s">
        <v>82</v>
      </c>
      <c r="E593" s="12">
        <v>50000</v>
      </c>
      <c r="F593" s="21" t="s">
        <v>82</v>
      </c>
      <c r="G593" s="21" t="s">
        <v>72</v>
      </c>
      <c r="H593" s="21" t="s">
        <v>73</v>
      </c>
      <c r="I593" s="21" t="s">
        <v>92</v>
      </c>
      <c r="J593" s="68">
        <f>+MONTH(ExpenseTable[[#This Row],[Voucher Date]])</f>
        <v>5</v>
      </c>
      <c r="K593" s="68" t="s">
        <v>238</v>
      </c>
    </row>
    <row r="594" spans="1:11" x14ac:dyDescent="0.35">
      <c r="A594" s="15">
        <v>45789</v>
      </c>
      <c r="B594" s="11" t="s">
        <v>866</v>
      </c>
      <c r="C594" s="19">
        <v>45789</v>
      </c>
      <c r="D594" s="13" t="s">
        <v>597</v>
      </c>
      <c r="E594" s="12">
        <v>340000</v>
      </c>
      <c r="F594" s="21" t="s">
        <v>5</v>
      </c>
      <c r="G594" s="21" t="s">
        <v>72</v>
      </c>
      <c r="H594" s="21" t="s">
        <v>73</v>
      </c>
      <c r="I594" s="21" t="s">
        <v>92</v>
      </c>
      <c r="J594" s="68">
        <f>+MONTH(ExpenseTable[[#This Row],[Voucher Date]])</f>
        <v>5</v>
      </c>
      <c r="K594" s="68" t="s">
        <v>238</v>
      </c>
    </row>
    <row r="595" spans="1:11" x14ac:dyDescent="0.35">
      <c r="A595" s="15">
        <v>45789</v>
      </c>
      <c r="B595" s="11" t="s">
        <v>866</v>
      </c>
      <c r="C595" s="19">
        <v>45789</v>
      </c>
      <c r="D595" s="13" t="s">
        <v>596</v>
      </c>
      <c r="E595" s="12">
        <v>585000</v>
      </c>
      <c r="F595" s="21" t="s">
        <v>5</v>
      </c>
      <c r="G595" s="21" t="s">
        <v>72</v>
      </c>
      <c r="H595" s="21" t="s">
        <v>73</v>
      </c>
      <c r="I595" s="21" t="s">
        <v>92</v>
      </c>
      <c r="J595" s="68">
        <f>+MONTH(ExpenseTable[[#This Row],[Voucher Date]])</f>
        <v>5</v>
      </c>
      <c r="K595" s="68" t="s">
        <v>238</v>
      </c>
    </row>
    <row r="596" spans="1:11" x14ac:dyDescent="0.35">
      <c r="A596" s="15">
        <v>45789</v>
      </c>
      <c r="B596" s="11" t="s">
        <v>866</v>
      </c>
      <c r="C596" s="19">
        <v>45789</v>
      </c>
      <c r="D596" s="13" t="s">
        <v>595</v>
      </c>
      <c r="E596" s="12">
        <v>940000</v>
      </c>
      <c r="F596" s="21" t="s">
        <v>5</v>
      </c>
      <c r="G596" s="21" t="s">
        <v>72</v>
      </c>
      <c r="H596" s="21" t="s">
        <v>73</v>
      </c>
      <c r="I596" s="21" t="s">
        <v>92</v>
      </c>
      <c r="J596" s="68">
        <f>+MONTH(ExpenseTable[[#This Row],[Voucher Date]])</f>
        <v>5</v>
      </c>
      <c r="K596" s="68" t="s">
        <v>238</v>
      </c>
    </row>
    <row r="597" spans="1:11" x14ac:dyDescent="0.35">
      <c r="A597" s="15">
        <v>45791</v>
      </c>
      <c r="B597" s="11" t="s">
        <v>866</v>
      </c>
      <c r="C597" s="19">
        <v>45789</v>
      </c>
      <c r="D597" s="13" t="s">
        <v>599</v>
      </c>
      <c r="E597" s="12">
        <v>1000000</v>
      </c>
      <c r="F597" s="21" t="s">
        <v>86</v>
      </c>
      <c r="G597" s="21" t="s">
        <v>72</v>
      </c>
      <c r="H597" s="21" t="s">
        <v>73</v>
      </c>
      <c r="I597" s="21" t="s">
        <v>92</v>
      </c>
      <c r="J597" s="68">
        <f>+MONTH(ExpenseTable[[#This Row],[Voucher Date]])</f>
        <v>5</v>
      </c>
      <c r="K597" s="68" t="s">
        <v>238</v>
      </c>
    </row>
    <row r="598" spans="1:11" x14ac:dyDescent="0.35">
      <c r="A598" s="15">
        <v>45789</v>
      </c>
      <c r="B598" s="11" t="s">
        <v>866</v>
      </c>
      <c r="C598" s="19">
        <v>45789</v>
      </c>
      <c r="D598" s="13" t="s">
        <v>598</v>
      </c>
      <c r="E598" s="12">
        <v>2000000</v>
      </c>
      <c r="F598" s="21" t="s">
        <v>54</v>
      </c>
      <c r="G598" s="21" t="s">
        <v>80</v>
      </c>
      <c r="H598" s="21" t="s">
        <v>81</v>
      </c>
      <c r="I598" s="21" t="s">
        <v>92</v>
      </c>
      <c r="J598" s="68">
        <f>+MONTH(ExpenseTable[[#This Row],[Voucher Date]])</f>
        <v>5</v>
      </c>
      <c r="K598" s="68" t="s">
        <v>238</v>
      </c>
    </row>
    <row r="599" spans="1:11" x14ac:dyDescent="0.35">
      <c r="A599" s="15">
        <v>45790</v>
      </c>
      <c r="B599" s="11" t="s">
        <v>600</v>
      </c>
      <c r="C599" s="19">
        <v>45790</v>
      </c>
      <c r="D599" s="13" t="s">
        <v>174</v>
      </c>
      <c r="E599" s="12">
        <v>900</v>
      </c>
      <c r="F599" s="21" t="s">
        <v>27</v>
      </c>
      <c r="G599" s="21" t="s">
        <v>72</v>
      </c>
      <c r="H599" s="21" t="s">
        <v>73</v>
      </c>
      <c r="I599" s="21" t="s">
        <v>90</v>
      </c>
      <c r="J599" s="68">
        <f>+MONTH(ExpenseTable[[#This Row],[Voucher Date]])</f>
        <v>5</v>
      </c>
      <c r="K599" s="68" t="s">
        <v>238</v>
      </c>
    </row>
    <row r="600" spans="1:11" x14ac:dyDescent="0.35">
      <c r="A600" s="15">
        <v>45790</v>
      </c>
      <c r="B600" s="11" t="s">
        <v>600</v>
      </c>
      <c r="C600" s="19">
        <v>45790</v>
      </c>
      <c r="D600" s="13" t="s">
        <v>589</v>
      </c>
      <c r="E600" s="12">
        <v>3000</v>
      </c>
      <c r="F600" s="21" t="s">
        <v>21</v>
      </c>
      <c r="G600" s="21" t="s">
        <v>72</v>
      </c>
      <c r="H600" s="21" t="s">
        <v>73</v>
      </c>
      <c r="I600" s="21" t="s">
        <v>90</v>
      </c>
      <c r="J600" s="68">
        <f>+MONTH(ExpenseTable[[#This Row],[Voucher Date]])</f>
        <v>5</v>
      </c>
      <c r="K600" s="68" t="s">
        <v>238</v>
      </c>
    </row>
    <row r="601" spans="1:11" x14ac:dyDescent="0.35">
      <c r="A601" s="15">
        <v>45790</v>
      </c>
      <c r="B601" s="11" t="s">
        <v>600</v>
      </c>
      <c r="C601" s="19">
        <v>45790</v>
      </c>
      <c r="D601" s="13" t="s">
        <v>616</v>
      </c>
      <c r="E601" s="12">
        <v>6000</v>
      </c>
      <c r="F601" s="21" t="s">
        <v>57</v>
      </c>
      <c r="G601" s="21" t="s">
        <v>72</v>
      </c>
      <c r="H601" s="21" t="s">
        <v>73</v>
      </c>
      <c r="I601" s="21" t="s">
        <v>90</v>
      </c>
      <c r="J601" s="68">
        <f>+MONTH(ExpenseTable[[#This Row],[Voucher Date]])</f>
        <v>5</v>
      </c>
      <c r="K601" s="68" t="s">
        <v>238</v>
      </c>
    </row>
    <row r="602" spans="1:11" x14ac:dyDescent="0.35">
      <c r="A602" s="15">
        <v>45790</v>
      </c>
      <c r="B602" s="11" t="s">
        <v>600</v>
      </c>
      <c r="C602" s="19">
        <v>45790</v>
      </c>
      <c r="D602" s="13" t="s">
        <v>611</v>
      </c>
      <c r="E602" s="12">
        <v>6350</v>
      </c>
      <c r="F602" s="21" t="s">
        <v>27</v>
      </c>
      <c r="G602" s="21" t="s">
        <v>72</v>
      </c>
      <c r="H602" s="21" t="s">
        <v>73</v>
      </c>
      <c r="I602" s="21" t="s">
        <v>90</v>
      </c>
      <c r="J602" s="68">
        <f>+MONTH(ExpenseTable[[#This Row],[Voucher Date]])</f>
        <v>5</v>
      </c>
      <c r="K602" s="68" t="s">
        <v>238</v>
      </c>
    </row>
    <row r="603" spans="1:11" x14ac:dyDescent="0.35">
      <c r="A603" s="15">
        <v>45790</v>
      </c>
      <c r="B603" s="11" t="s">
        <v>600</v>
      </c>
      <c r="C603" s="19">
        <v>45790</v>
      </c>
      <c r="D603" s="13" t="s">
        <v>603</v>
      </c>
      <c r="E603" s="12">
        <v>10000</v>
      </c>
      <c r="F603" s="21" t="s">
        <v>54</v>
      </c>
      <c r="G603" s="21" t="s">
        <v>67</v>
      </c>
      <c r="H603" s="21" t="s">
        <v>79</v>
      </c>
      <c r="I603" s="21" t="s">
        <v>90</v>
      </c>
      <c r="J603" s="68">
        <f>+MONTH(ExpenseTable[[#This Row],[Voucher Date]])</f>
        <v>5</v>
      </c>
      <c r="K603" s="68" t="s">
        <v>238</v>
      </c>
    </row>
    <row r="604" spans="1:11" x14ac:dyDescent="0.35">
      <c r="A604" s="15">
        <v>45790</v>
      </c>
      <c r="B604" s="11" t="s">
        <v>600</v>
      </c>
      <c r="C604" s="19">
        <v>45790</v>
      </c>
      <c r="D604" s="13" t="s">
        <v>612</v>
      </c>
      <c r="E604" s="12">
        <v>21000</v>
      </c>
      <c r="F604" s="21" t="s">
        <v>27</v>
      </c>
      <c r="G604" s="21" t="s">
        <v>72</v>
      </c>
      <c r="H604" s="21" t="s">
        <v>73</v>
      </c>
      <c r="I604" s="21" t="s">
        <v>90</v>
      </c>
      <c r="J604" s="68">
        <f>+MONTH(ExpenseTable[[#This Row],[Voucher Date]])</f>
        <v>5</v>
      </c>
      <c r="K604" s="68" t="s">
        <v>238</v>
      </c>
    </row>
    <row r="605" spans="1:11" x14ac:dyDescent="0.35">
      <c r="A605" s="15">
        <v>45790</v>
      </c>
      <c r="B605" s="11" t="s">
        <v>600</v>
      </c>
      <c r="C605" s="19">
        <v>45790</v>
      </c>
      <c r="D605" s="13" t="s">
        <v>610</v>
      </c>
      <c r="E605" s="12">
        <v>30000</v>
      </c>
      <c r="F605" s="21" t="s">
        <v>22</v>
      </c>
      <c r="G605" s="21" t="s">
        <v>72</v>
      </c>
      <c r="H605" s="21" t="s">
        <v>73</v>
      </c>
      <c r="I605" s="21" t="s">
        <v>90</v>
      </c>
      <c r="J605" s="68">
        <f>+MONTH(ExpenseTable[[#This Row],[Voucher Date]])</f>
        <v>5</v>
      </c>
      <c r="K605" s="68" t="s">
        <v>238</v>
      </c>
    </row>
    <row r="606" spans="1:11" x14ac:dyDescent="0.35">
      <c r="A606" s="15">
        <v>45790</v>
      </c>
      <c r="B606" s="11" t="s">
        <v>600</v>
      </c>
      <c r="C606" s="19">
        <v>45790</v>
      </c>
      <c r="D606" s="13" t="s">
        <v>617</v>
      </c>
      <c r="E606" s="12">
        <v>140000</v>
      </c>
      <c r="F606" s="21" t="s">
        <v>57</v>
      </c>
      <c r="G606" s="21" t="s">
        <v>72</v>
      </c>
      <c r="H606" s="21" t="s">
        <v>73</v>
      </c>
      <c r="I606" s="21" t="s">
        <v>90</v>
      </c>
      <c r="J606" s="68">
        <f>+MONTH(ExpenseTable[[#This Row],[Voucher Date]])</f>
        <v>5</v>
      </c>
      <c r="K606" s="68" t="s">
        <v>238</v>
      </c>
    </row>
    <row r="607" spans="1:11" x14ac:dyDescent="0.35">
      <c r="A607" s="15">
        <v>45791</v>
      </c>
      <c r="B607" s="11" t="s">
        <v>608</v>
      </c>
      <c r="C607" s="19">
        <v>45790</v>
      </c>
      <c r="D607" s="13" t="s">
        <v>618</v>
      </c>
      <c r="E607" s="12">
        <v>5000</v>
      </c>
      <c r="F607" s="21" t="s">
        <v>23</v>
      </c>
      <c r="G607" s="21" t="s">
        <v>72</v>
      </c>
      <c r="H607" s="21" t="s">
        <v>73</v>
      </c>
      <c r="I607" s="21" t="s">
        <v>1123</v>
      </c>
      <c r="J607" s="68">
        <f>+MONTH(ExpenseTable[[#This Row],[Voucher Date]])</f>
        <v>5</v>
      </c>
      <c r="K607" s="68" t="s">
        <v>238</v>
      </c>
    </row>
    <row r="608" spans="1:11" x14ac:dyDescent="0.35">
      <c r="A608" s="15">
        <v>45790</v>
      </c>
      <c r="B608" s="11" t="s">
        <v>608</v>
      </c>
      <c r="C608" s="19">
        <v>45790</v>
      </c>
      <c r="D608" s="13" t="s">
        <v>623</v>
      </c>
      <c r="E608" s="12">
        <v>10000</v>
      </c>
      <c r="F608" s="21" t="s">
        <v>55</v>
      </c>
      <c r="G608" s="21" t="s">
        <v>72</v>
      </c>
      <c r="H608" s="21" t="s">
        <v>73</v>
      </c>
      <c r="I608" s="21" t="s">
        <v>1123</v>
      </c>
      <c r="J608" s="68">
        <f>+MONTH(ExpenseTable[[#This Row],[Voucher Date]])</f>
        <v>5</v>
      </c>
      <c r="K608" s="68" t="s">
        <v>238</v>
      </c>
    </row>
    <row r="609" spans="1:11" x14ac:dyDescent="0.35">
      <c r="A609" s="15">
        <v>45790</v>
      </c>
      <c r="B609" s="11" t="s">
        <v>608</v>
      </c>
      <c r="C609" s="19">
        <v>45790</v>
      </c>
      <c r="D609" s="13" t="s">
        <v>601</v>
      </c>
      <c r="E609" s="12">
        <v>10000</v>
      </c>
      <c r="F609" s="21" t="s">
        <v>54</v>
      </c>
      <c r="G609" s="21" t="s">
        <v>67</v>
      </c>
      <c r="H609" s="21" t="s">
        <v>79</v>
      </c>
      <c r="I609" s="21" t="s">
        <v>1123</v>
      </c>
      <c r="J609" s="68">
        <f>+MONTH(ExpenseTable[[#This Row],[Voucher Date]])</f>
        <v>5</v>
      </c>
      <c r="K609" s="68" t="s">
        <v>238</v>
      </c>
    </row>
    <row r="610" spans="1:11" x14ac:dyDescent="0.35">
      <c r="A610" s="15">
        <v>45790</v>
      </c>
      <c r="B610" s="11" t="s">
        <v>608</v>
      </c>
      <c r="C610" s="19">
        <v>45790</v>
      </c>
      <c r="D610" s="13" t="s">
        <v>613</v>
      </c>
      <c r="E610" s="12">
        <v>15000</v>
      </c>
      <c r="F610" s="21" t="s">
        <v>30</v>
      </c>
      <c r="G610" s="21" t="s">
        <v>67</v>
      </c>
      <c r="H610" s="21" t="s">
        <v>79</v>
      </c>
      <c r="I610" s="21" t="s">
        <v>1123</v>
      </c>
      <c r="J610" s="68">
        <f>+MONTH(ExpenseTable[[#This Row],[Voucher Date]])</f>
        <v>5</v>
      </c>
      <c r="K610" s="68" t="s">
        <v>238</v>
      </c>
    </row>
    <row r="611" spans="1:11" x14ac:dyDescent="0.35">
      <c r="A611" s="15">
        <v>45792</v>
      </c>
      <c r="B611" s="11" t="s">
        <v>608</v>
      </c>
      <c r="C611" s="19">
        <v>45790</v>
      </c>
      <c r="D611" s="13" t="s">
        <v>602</v>
      </c>
      <c r="E611" s="12">
        <v>20000</v>
      </c>
      <c r="F611" s="21" t="s">
        <v>54</v>
      </c>
      <c r="G611" s="21" t="s">
        <v>67</v>
      </c>
      <c r="H611" s="21" t="s">
        <v>79</v>
      </c>
      <c r="I611" s="21" t="s">
        <v>1123</v>
      </c>
      <c r="J611" s="68">
        <f>+MONTH(ExpenseTable[[#This Row],[Voucher Date]])</f>
        <v>5</v>
      </c>
      <c r="K611" s="68" t="s">
        <v>238</v>
      </c>
    </row>
    <row r="612" spans="1:11" x14ac:dyDescent="0.35">
      <c r="A612" s="15">
        <v>45792</v>
      </c>
      <c r="B612" s="11" t="s">
        <v>608</v>
      </c>
      <c r="C612" s="19">
        <v>45790</v>
      </c>
      <c r="D612" s="13" t="s">
        <v>619</v>
      </c>
      <c r="E612" s="12">
        <v>25000</v>
      </c>
      <c r="F612" s="21" t="s">
        <v>23</v>
      </c>
      <c r="G612" s="21" t="s">
        <v>72</v>
      </c>
      <c r="H612" s="21" t="s">
        <v>73</v>
      </c>
      <c r="I612" s="21" t="s">
        <v>1123</v>
      </c>
      <c r="J612" s="68">
        <f>+MONTH(ExpenseTable[[#This Row],[Voucher Date]])</f>
        <v>5</v>
      </c>
      <c r="K612" s="68" t="s">
        <v>238</v>
      </c>
    </row>
    <row r="613" spans="1:11" x14ac:dyDescent="0.35">
      <c r="A613" s="15">
        <v>45790</v>
      </c>
      <c r="B613" s="11" t="s">
        <v>608</v>
      </c>
      <c r="C613" s="19">
        <v>45790</v>
      </c>
      <c r="D613" s="13" t="s">
        <v>614</v>
      </c>
      <c r="E613" s="12">
        <v>125000</v>
      </c>
      <c r="F613" s="21" t="s">
        <v>30</v>
      </c>
      <c r="G613" s="21" t="s">
        <v>72</v>
      </c>
      <c r="H613" s="21" t="s">
        <v>73</v>
      </c>
      <c r="I613" s="21" t="s">
        <v>1123</v>
      </c>
      <c r="J613" s="68">
        <f>+MONTH(ExpenseTable[[#This Row],[Voucher Date]])</f>
        <v>5</v>
      </c>
      <c r="K613" s="68" t="s">
        <v>238</v>
      </c>
    </row>
    <row r="614" spans="1:11" x14ac:dyDescent="0.35">
      <c r="A614" s="15">
        <v>45792</v>
      </c>
      <c r="B614" s="11" t="s">
        <v>608</v>
      </c>
      <c r="C614" s="19">
        <v>45790</v>
      </c>
      <c r="D614" s="13" t="s">
        <v>609</v>
      </c>
      <c r="E614" s="12">
        <v>130000</v>
      </c>
      <c r="F614" s="21" t="s">
        <v>22</v>
      </c>
      <c r="G614" s="21" t="s">
        <v>72</v>
      </c>
      <c r="H614" s="21" t="s">
        <v>73</v>
      </c>
      <c r="I614" s="21" t="s">
        <v>1123</v>
      </c>
      <c r="J614" s="68">
        <f>+MONTH(ExpenseTable[[#This Row],[Voucher Date]])</f>
        <v>5</v>
      </c>
      <c r="K614" s="68" t="s">
        <v>238</v>
      </c>
    </row>
    <row r="615" spans="1:11" x14ac:dyDescent="0.35">
      <c r="A615" s="15">
        <v>45807</v>
      </c>
      <c r="B615" s="11" t="s">
        <v>867</v>
      </c>
      <c r="C615" s="19">
        <v>45790</v>
      </c>
      <c r="D615" s="13" t="s">
        <v>621</v>
      </c>
      <c r="E615" s="12">
        <v>43846.15</v>
      </c>
      <c r="F615" s="21" t="s">
        <v>29</v>
      </c>
      <c r="G615" s="21" t="s">
        <v>72</v>
      </c>
      <c r="H615" s="21" t="s">
        <v>73</v>
      </c>
      <c r="I615" s="21" t="s">
        <v>91</v>
      </c>
      <c r="J615" s="68">
        <f>+MONTH(ExpenseTable[[#This Row],[Voucher Date]])</f>
        <v>5</v>
      </c>
      <c r="K615" s="68" t="s">
        <v>238</v>
      </c>
    </row>
    <row r="616" spans="1:11" x14ac:dyDescent="0.35">
      <c r="A616" s="15">
        <v>45808</v>
      </c>
      <c r="B616" s="11" t="s">
        <v>867</v>
      </c>
      <c r="C616" s="19">
        <v>45790</v>
      </c>
      <c r="D616" s="13" t="s">
        <v>607</v>
      </c>
      <c r="E616" s="12">
        <v>75000</v>
      </c>
      <c r="F616" s="21" t="s">
        <v>22</v>
      </c>
      <c r="G616" s="21" t="s">
        <v>72</v>
      </c>
      <c r="H616" s="21" t="s">
        <v>73</v>
      </c>
      <c r="I616" s="21" t="s">
        <v>91</v>
      </c>
      <c r="J616" s="68">
        <f>+MONTH(ExpenseTable[[#This Row],[Voucher Date]])</f>
        <v>5</v>
      </c>
      <c r="K616" s="68" t="s">
        <v>238</v>
      </c>
    </row>
    <row r="617" spans="1:11" x14ac:dyDescent="0.35">
      <c r="A617" s="15">
        <v>45789</v>
      </c>
      <c r="B617" s="11" t="s">
        <v>867</v>
      </c>
      <c r="C617" s="19">
        <v>45790</v>
      </c>
      <c r="D617" s="13" t="s">
        <v>620</v>
      </c>
      <c r="E617" s="12">
        <v>104500</v>
      </c>
      <c r="F617" s="21" t="s">
        <v>29</v>
      </c>
      <c r="G617" s="21" t="s">
        <v>72</v>
      </c>
      <c r="H617" s="21" t="s">
        <v>73</v>
      </c>
      <c r="I617" s="21" t="s">
        <v>91</v>
      </c>
      <c r="J617" s="68">
        <f>+MONTH(ExpenseTable[[#This Row],[Voucher Date]])</f>
        <v>5</v>
      </c>
      <c r="K617" s="68" t="s">
        <v>238</v>
      </c>
    </row>
    <row r="618" spans="1:11" x14ac:dyDescent="0.35">
      <c r="A618" s="15">
        <v>45793</v>
      </c>
      <c r="B618" s="11" t="s">
        <v>867</v>
      </c>
      <c r="C618" s="19">
        <v>45790</v>
      </c>
      <c r="D618" s="13" t="s">
        <v>605</v>
      </c>
      <c r="E618" s="12">
        <v>128000</v>
      </c>
      <c r="F618" s="21" t="s">
        <v>5</v>
      </c>
      <c r="G618" s="21" t="s">
        <v>72</v>
      </c>
      <c r="H618" s="21" t="s">
        <v>73</v>
      </c>
      <c r="I618" s="21" t="s">
        <v>91</v>
      </c>
      <c r="J618" s="68">
        <f>+MONTH(ExpenseTable[[#This Row],[Voucher Date]])</f>
        <v>5</v>
      </c>
      <c r="K618" s="68" t="s">
        <v>238</v>
      </c>
    </row>
    <row r="619" spans="1:11" x14ac:dyDescent="0.35">
      <c r="A619" s="15">
        <v>45801</v>
      </c>
      <c r="B619" s="11" t="s">
        <v>867</v>
      </c>
      <c r="C619" s="19">
        <v>45790</v>
      </c>
      <c r="D619" s="13" t="s">
        <v>606</v>
      </c>
      <c r="E619" s="12">
        <v>320000</v>
      </c>
      <c r="F619" s="21" t="s">
        <v>22</v>
      </c>
      <c r="G619" s="21" t="s">
        <v>72</v>
      </c>
      <c r="H619" s="21" t="s">
        <v>73</v>
      </c>
      <c r="I619" s="21" t="s">
        <v>91</v>
      </c>
      <c r="J619" s="68">
        <f>+MONTH(ExpenseTable[[#This Row],[Voucher Date]])</f>
        <v>5</v>
      </c>
      <c r="K619" s="68" t="s">
        <v>238</v>
      </c>
    </row>
    <row r="620" spans="1:11" x14ac:dyDescent="0.35">
      <c r="A620" s="15">
        <v>45797</v>
      </c>
      <c r="B620" s="11" t="s">
        <v>867</v>
      </c>
      <c r="C620" s="19">
        <v>45790</v>
      </c>
      <c r="D620" s="13" t="s">
        <v>604</v>
      </c>
      <c r="E620" s="12">
        <v>350000</v>
      </c>
      <c r="F620" s="21" t="s">
        <v>50</v>
      </c>
      <c r="G620" s="21" t="s">
        <v>72</v>
      </c>
      <c r="H620" s="21" t="s">
        <v>73</v>
      </c>
      <c r="I620" s="21" t="s">
        <v>91</v>
      </c>
      <c r="J620" s="68">
        <f>+MONTH(ExpenseTable[[#This Row],[Voucher Date]])</f>
        <v>5</v>
      </c>
      <c r="K620" s="68" t="s">
        <v>238</v>
      </c>
    </row>
    <row r="621" spans="1:11" x14ac:dyDescent="0.35">
      <c r="A621" s="15">
        <v>45790</v>
      </c>
      <c r="B621" s="11" t="s">
        <v>867</v>
      </c>
      <c r="C621" s="19">
        <v>45790</v>
      </c>
      <c r="D621" s="13" t="s">
        <v>615</v>
      </c>
      <c r="E621" s="12">
        <v>445900</v>
      </c>
      <c r="F621" s="21" t="s">
        <v>57</v>
      </c>
      <c r="G621" s="21" t="s">
        <v>67</v>
      </c>
      <c r="H621" s="21" t="s">
        <v>79</v>
      </c>
      <c r="I621" s="21" t="s">
        <v>91</v>
      </c>
      <c r="J621" s="68">
        <f>+MONTH(ExpenseTable[[#This Row],[Voucher Date]])</f>
        <v>5</v>
      </c>
      <c r="K621" s="68" t="s">
        <v>238</v>
      </c>
    </row>
    <row r="622" spans="1:11" x14ac:dyDescent="0.35">
      <c r="A622" s="15">
        <v>45807</v>
      </c>
      <c r="B622" s="11" t="s">
        <v>867</v>
      </c>
      <c r="C622" s="19">
        <v>45790</v>
      </c>
      <c r="D622" s="13" t="s">
        <v>622</v>
      </c>
      <c r="E622" s="12">
        <v>1227026.6599999999</v>
      </c>
      <c r="F622" s="21" t="s">
        <v>29</v>
      </c>
      <c r="G622" s="21" t="s">
        <v>72</v>
      </c>
      <c r="H622" s="21" t="s">
        <v>73</v>
      </c>
      <c r="I622" s="21" t="s">
        <v>91</v>
      </c>
      <c r="J622" s="68">
        <f>+MONTH(ExpenseTable[[#This Row],[Voucher Date]])</f>
        <v>5</v>
      </c>
      <c r="K622" s="68" t="s">
        <v>238</v>
      </c>
    </row>
    <row r="623" spans="1:11" x14ac:dyDescent="0.35">
      <c r="A623" s="15">
        <v>45792</v>
      </c>
      <c r="B623" s="11" t="s">
        <v>624</v>
      </c>
      <c r="C623" s="19">
        <v>45791</v>
      </c>
      <c r="D623" s="13" t="s">
        <v>629</v>
      </c>
      <c r="E623" s="12">
        <v>1800</v>
      </c>
      <c r="F623" s="21" t="s">
        <v>27</v>
      </c>
      <c r="G623" s="21" t="s">
        <v>72</v>
      </c>
      <c r="H623" s="21" t="s">
        <v>73</v>
      </c>
      <c r="I623" s="21" t="s">
        <v>90</v>
      </c>
      <c r="J623" s="68">
        <f>+MONTH(ExpenseTable[[#This Row],[Voucher Date]])</f>
        <v>5</v>
      </c>
      <c r="K623" s="68" t="s">
        <v>238</v>
      </c>
    </row>
    <row r="624" spans="1:11" x14ac:dyDescent="0.35">
      <c r="A624" s="15">
        <v>45791</v>
      </c>
      <c r="B624" s="11" t="s">
        <v>624</v>
      </c>
      <c r="C624" s="19">
        <v>45791</v>
      </c>
      <c r="D624" s="13" t="s">
        <v>632</v>
      </c>
      <c r="E624" s="12">
        <v>3000</v>
      </c>
      <c r="F624" s="21" t="s">
        <v>30</v>
      </c>
      <c r="G624" s="21" t="s">
        <v>72</v>
      </c>
      <c r="H624" s="21" t="s">
        <v>73</v>
      </c>
      <c r="I624" s="21" t="s">
        <v>90</v>
      </c>
      <c r="J624" s="68">
        <f>+MONTH(ExpenseTable[[#This Row],[Voucher Date]])</f>
        <v>5</v>
      </c>
      <c r="K624" s="68" t="s">
        <v>238</v>
      </c>
    </row>
    <row r="625" spans="1:11" x14ac:dyDescent="0.35">
      <c r="A625" s="15">
        <v>45792</v>
      </c>
      <c r="B625" s="11" t="s">
        <v>624</v>
      </c>
      <c r="C625" s="19">
        <v>45791</v>
      </c>
      <c r="D625" s="13" t="s">
        <v>635</v>
      </c>
      <c r="E625" s="12">
        <v>4000</v>
      </c>
      <c r="F625" s="21" t="s">
        <v>55</v>
      </c>
      <c r="G625" s="21" t="s">
        <v>72</v>
      </c>
      <c r="H625" s="21" t="s">
        <v>73</v>
      </c>
      <c r="I625" s="21" t="s">
        <v>90</v>
      </c>
      <c r="J625" s="68">
        <f>+MONTH(ExpenseTable[[#This Row],[Voucher Date]])</f>
        <v>5</v>
      </c>
      <c r="K625" s="68" t="s">
        <v>238</v>
      </c>
    </row>
    <row r="626" spans="1:11" x14ac:dyDescent="0.35">
      <c r="A626" s="15">
        <v>45789</v>
      </c>
      <c r="B626" s="11" t="s">
        <v>624</v>
      </c>
      <c r="C626" s="19">
        <v>45791</v>
      </c>
      <c r="D626" s="13" t="s">
        <v>631</v>
      </c>
      <c r="E626" s="12">
        <v>10000</v>
      </c>
      <c r="F626" s="21" t="s">
        <v>30</v>
      </c>
      <c r="G626" s="21" t="s">
        <v>72</v>
      </c>
      <c r="H626" s="21" t="s">
        <v>73</v>
      </c>
      <c r="I626" s="21" t="s">
        <v>90</v>
      </c>
      <c r="J626" s="68">
        <f>+MONTH(ExpenseTable[[#This Row],[Voucher Date]])</f>
        <v>5</v>
      </c>
      <c r="K626" s="68" t="s">
        <v>238</v>
      </c>
    </row>
    <row r="627" spans="1:11" x14ac:dyDescent="0.35">
      <c r="A627" s="15">
        <v>45791</v>
      </c>
      <c r="B627" s="11" t="s">
        <v>624</v>
      </c>
      <c r="C627" s="19">
        <v>45791</v>
      </c>
      <c r="D627" s="13" t="s">
        <v>633</v>
      </c>
      <c r="E627" s="12">
        <v>17500</v>
      </c>
      <c r="F627" s="21" t="s">
        <v>23</v>
      </c>
      <c r="G627" s="21" t="s">
        <v>72</v>
      </c>
      <c r="H627" s="21" t="s">
        <v>73</v>
      </c>
      <c r="I627" s="21" t="s">
        <v>90</v>
      </c>
      <c r="J627" s="68">
        <f>+MONTH(ExpenseTable[[#This Row],[Voucher Date]])</f>
        <v>5</v>
      </c>
      <c r="K627" s="68" t="s">
        <v>238</v>
      </c>
    </row>
    <row r="628" spans="1:11" x14ac:dyDescent="0.35">
      <c r="A628" s="15">
        <v>45790</v>
      </c>
      <c r="B628" s="11" t="s">
        <v>624</v>
      </c>
      <c r="C628" s="19">
        <v>45791</v>
      </c>
      <c r="D628" s="13" t="s">
        <v>630</v>
      </c>
      <c r="E628" s="12">
        <v>58000</v>
      </c>
      <c r="F628" s="21" t="s">
        <v>40</v>
      </c>
      <c r="G628" s="21" t="s">
        <v>72</v>
      </c>
      <c r="H628" s="21" t="s">
        <v>73</v>
      </c>
      <c r="I628" s="21" t="s">
        <v>90</v>
      </c>
      <c r="J628" s="68">
        <f>+MONTH(ExpenseTable[[#This Row],[Voucher Date]])</f>
        <v>5</v>
      </c>
      <c r="K628" s="68" t="s">
        <v>238</v>
      </c>
    </row>
    <row r="629" spans="1:11" x14ac:dyDescent="0.35">
      <c r="A629" s="15">
        <v>45792</v>
      </c>
      <c r="B629" s="11" t="s">
        <v>624</v>
      </c>
      <c r="C629" s="19">
        <v>45791</v>
      </c>
      <c r="D629" s="13" t="s">
        <v>628</v>
      </c>
      <c r="E629" s="12">
        <v>78000</v>
      </c>
      <c r="F629" s="21" t="s">
        <v>22</v>
      </c>
      <c r="G629" s="21" t="s">
        <v>72</v>
      </c>
      <c r="H629" s="21" t="s">
        <v>73</v>
      </c>
      <c r="I629" s="21" t="s">
        <v>90</v>
      </c>
      <c r="J629" s="68">
        <f>+MONTH(ExpenseTable[[#This Row],[Voucher Date]])</f>
        <v>5</v>
      </c>
      <c r="K629" s="68" t="s">
        <v>238</v>
      </c>
    </row>
    <row r="630" spans="1:11" x14ac:dyDescent="0.35">
      <c r="A630" s="15">
        <v>45803</v>
      </c>
      <c r="B630" s="11" t="s">
        <v>868</v>
      </c>
      <c r="C630" s="19">
        <v>45791</v>
      </c>
      <c r="D630" s="13" t="s">
        <v>320</v>
      </c>
      <c r="E630" s="12">
        <v>1200</v>
      </c>
      <c r="F630" s="21" t="s">
        <v>21</v>
      </c>
      <c r="G630" s="21" t="s">
        <v>72</v>
      </c>
      <c r="H630" s="21" t="s">
        <v>73</v>
      </c>
      <c r="I630" s="21" t="s">
        <v>90</v>
      </c>
      <c r="J630" s="68">
        <f>+MONTH(ExpenseTable[[#This Row],[Voucher Date]])</f>
        <v>5</v>
      </c>
      <c r="K630" s="68" t="s">
        <v>238</v>
      </c>
    </row>
    <row r="631" spans="1:11" x14ac:dyDescent="0.35">
      <c r="A631" s="15">
        <v>45792</v>
      </c>
      <c r="B631" s="11" t="s">
        <v>868</v>
      </c>
      <c r="C631" s="19">
        <v>45791</v>
      </c>
      <c r="D631" s="13" t="s">
        <v>625</v>
      </c>
      <c r="E631" s="12">
        <v>15000</v>
      </c>
      <c r="F631" s="21" t="s">
        <v>54</v>
      </c>
      <c r="G631" s="21" t="s">
        <v>67</v>
      </c>
      <c r="H631" s="21" t="s">
        <v>79</v>
      </c>
      <c r="I631" s="21" t="s">
        <v>90</v>
      </c>
      <c r="J631" s="68">
        <f>+MONTH(ExpenseTable[[#This Row],[Voucher Date]])</f>
        <v>5</v>
      </c>
      <c r="K631" s="68" t="s">
        <v>238</v>
      </c>
    </row>
    <row r="632" spans="1:11" x14ac:dyDescent="0.35">
      <c r="A632" s="15">
        <v>45801</v>
      </c>
      <c r="B632" s="11" t="s">
        <v>868</v>
      </c>
      <c r="C632" s="19">
        <v>45791</v>
      </c>
      <c r="D632" s="13" t="s">
        <v>171</v>
      </c>
      <c r="E632" s="12">
        <v>50000</v>
      </c>
      <c r="F632" s="21" t="s">
        <v>40</v>
      </c>
      <c r="G632" s="21" t="s">
        <v>72</v>
      </c>
      <c r="H632" s="21" t="s">
        <v>73</v>
      </c>
      <c r="I632" s="21" t="s">
        <v>90</v>
      </c>
      <c r="J632" s="68">
        <f>+MONTH(ExpenseTable[[#This Row],[Voucher Date]])</f>
        <v>5</v>
      </c>
      <c r="K632" s="68" t="s">
        <v>238</v>
      </c>
    </row>
    <row r="633" spans="1:11" x14ac:dyDescent="0.35">
      <c r="A633" s="15">
        <v>45792</v>
      </c>
      <c r="B633" s="11" t="s">
        <v>868</v>
      </c>
      <c r="C633" s="19">
        <v>45791</v>
      </c>
      <c r="D633" s="13" t="s">
        <v>356</v>
      </c>
      <c r="E633" s="12">
        <v>55000</v>
      </c>
      <c r="F633" s="21" t="s">
        <v>23</v>
      </c>
      <c r="G633" s="21" t="s">
        <v>72</v>
      </c>
      <c r="H633" s="21" t="s">
        <v>73</v>
      </c>
      <c r="I633" s="21" t="s">
        <v>90</v>
      </c>
      <c r="J633" s="68">
        <f>+MONTH(ExpenseTable[[#This Row],[Voucher Date]])</f>
        <v>5</v>
      </c>
      <c r="K633" s="68" t="s">
        <v>238</v>
      </c>
    </row>
    <row r="634" spans="1:11" x14ac:dyDescent="0.35">
      <c r="A634" s="15">
        <v>45803</v>
      </c>
      <c r="B634" s="11" t="s">
        <v>868</v>
      </c>
      <c r="C634" s="19">
        <v>45791</v>
      </c>
      <c r="D634" s="13" t="s">
        <v>634</v>
      </c>
      <c r="E634" s="12">
        <v>110000</v>
      </c>
      <c r="F634" s="21" t="s">
        <v>23</v>
      </c>
      <c r="G634" s="21" t="s">
        <v>72</v>
      </c>
      <c r="H634" s="21" t="s">
        <v>73</v>
      </c>
      <c r="I634" s="21" t="s">
        <v>90</v>
      </c>
      <c r="J634" s="68">
        <f>+MONTH(ExpenseTable[[#This Row],[Voucher Date]])</f>
        <v>5</v>
      </c>
      <c r="K634" s="68" t="s">
        <v>238</v>
      </c>
    </row>
    <row r="635" spans="1:11" x14ac:dyDescent="0.35">
      <c r="A635" s="15">
        <v>45798</v>
      </c>
      <c r="B635" s="11" t="s">
        <v>868</v>
      </c>
      <c r="C635" s="19">
        <v>45791</v>
      </c>
      <c r="D635" s="13" t="s">
        <v>626</v>
      </c>
      <c r="E635" s="12">
        <v>120000</v>
      </c>
      <c r="F635" s="21" t="s">
        <v>54</v>
      </c>
      <c r="G635" s="21" t="s">
        <v>67</v>
      </c>
      <c r="H635" s="21" t="s">
        <v>79</v>
      </c>
      <c r="I635" s="21" t="s">
        <v>90</v>
      </c>
      <c r="J635" s="68">
        <f>+MONTH(ExpenseTable[[#This Row],[Voucher Date]])</f>
        <v>5</v>
      </c>
      <c r="K635" s="68" t="s">
        <v>238</v>
      </c>
    </row>
    <row r="636" spans="1:11" x14ac:dyDescent="0.35">
      <c r="A636" s="15">
        <v>45803</v>
      </c>
      <c r="B636" s="11" t="s">
        <v>868</v>
      </c>
      <c r="C636" s="19">
        <v>45791</v>
      </c>
      <c r="D636" s="13" t="s">
        <v>627</v>
      </c>
      <c r="E636" s="12">
        <v>260000</v>
      </c>
      <c r="F636" s="21" t="s">
        <v>5</v>
      </c>
      <c r="G636" s="21" t="s">
        <v>72</v>
      </c>
      <c r="H636" s="21" t="s">
        <v>73</v>
      </c>
      <c r="I636" s="21" t="s">
        <v>90</v>
      </c>
      <c r="J636" s="68">
        <f>+MONTH(ExpenseTable[[#This Row],[Voucher Date]])</f>
        <v>5</v>
      </c>
      <c r="K636" s="68" t="s">
        <v>238</v>
      </c>
    </row>
    <row r="637" spans="1:11" x14ac:dyDescent="0.35">
      <c r="A637" s="15">
        <v>45793</v>
      </c>
      <c r="B637" s="11" t="s">
        <v>636</v>
      </c>
      <c r="C637" s="19">
        <v>45792</v>
      </c>
      <c r="D637" s="13" t="s">
        <v>639</v>
      </c>
      <c r="E637" s="12">
        <v>800</v>
      </c>
      <c r="F637" s="21" t="s">
        <v>27</v>
      </c>
      <c r="G637" s="21" t="s">
        <v>72</v>
      </c>
      <c r="H637" s="21" t="s">
        <v>73</v>
      </c>
      <c r="I637" s="21" t="s">
        <v>90</v>
      </c>
      <c r="J637" s="68">
        <f>+MONTH(ExpenseTable[[#This Row],[Voucher Date]])</f>
        <v>5</v>
      </c>
      <c r="K637" s="68" t="s">
        <v>238</v>
      </c>
    </row>
    <row r="638" spans="1:11" x14ac:dyDescent="0.35">
      <c r="A638" s="15">
        <v>45796</v>
      </c>
      <c r="B638" s="11" t="s">
        <v>636</v>
      </c>
      <c r="C638" s="19">
        <v>45792</v>
      </c>
      <c r="D638" s="13" t="s">
        <v>637</v>
      </c>
      <c r="E638" s="12">
        <v>5000</v>
      </c>
      <c r="F638" s="21" t="s">
        <v>54</v>
      </c>
      <c r="G638" s="21" t="s">
        <v>67</v>
      </c>
      <c r="H638" s="21" t="s">
        <v>79</v>
      </c>
      <c r="I638" s="21" t="s">
        <v>90</v>
      </c>
      <c r="J638" s="68">
        <f>+MONTH(ExpenseTable[[#This Row],[Voucher Date]])</f>
        <v>5</v>
      </c>
      <c r="K638" s="68" t="s">
        <v>238</v>
      </c>
    </row>
    <row r="639" spans="1:11" x14ac:dyDescent="0.35">
      <c r="A639" s="15">
        <v>45793</v>
      </c>
      <c r="B639" s="11" t="s">
        <v>636</v>
      </c>
      <c r="C639" s="19">
        <v>45792</v>
      </c>
      <c r="D639" s="13" t="s">
        <v>640</v>
      </c>
      <c r="E639" s="12">
        <v>8000</v>
      </c>
      <c r="F639" s="21" t="s">
        <v>30</v>
      </c>
      <c r="G639" s="21" t="s">
        <v>72</v>
      </c>
      <c r="H639" s="21" t="s">
        <v>73</v>
      </c>
      <c r="I639" s="21" t="s">
        <v>90</v>
      </c>
      <c r="J639" s="68">
        <f>+MONTH(ExpenseTable[[#This Row],[Voucher Date]])</f>
        <v>5</v>
      </c>
      <c r="K639" s="68" t="s">
        <v>238</v>
      </c>
    </row>
    <row r="640" spans="1:11" x14ac:dyDescent="0.35">
      <c r="A640" s="15">
        <v>45793</v>
      </c>
      <c r="B640" s="11" t="s">
        <v>636</v>
      </c>
      <c r="C640" s="19">
        <v>45792</v>
      </c>
      <c r="D640" s="13" t="s">
        <v>638</v>
      </c>
      <c r="E640" s="12">
        <v>150000</v>
      </c>
      <c r="F640" s="21" t="s">
        <v>22</v>
      </c>
      <c r="G640" s="21" t="s">
        <v>72</v>
      </c>
      <c r="H640" s="21" t="s">
        <v>73</v>
      </c>
      <c r="I640" s="21" t="s">
        <v>90</v>
      </c>
      <c r="J640" s="68">
        <f>+MONTH(ExpenseTable[[#This Row],[Voucher Date]])</f>
        <v>5</v>
      </c>
      <c r="K640" s="68" t="s">
        <v>238</v>
      </c>
    </row>
    <row r="641" spans="1:11" x14ac:dyDescent="0.35">
      <c r="A641" s="15">
        <v>45792</v>
      </c>
      <c r="B641" s="11" t="s">
        <v>636</v>
      </c>
      <c r="C641" s="19">
        <v>45792</v>
      </c>
      <c r="D641" s="13" t="s">
        <v>641</v>
      </c>
      <c r="E641" s="12">
        <v>524000</v>
      </c>
      <c r="F641" s="21" t="s">
        <v>88</v>
      </c>
      <c r="G641" s="21" t="s">
        <v>72</v>
      </c>
      <c r="H641" s="21" t="s">
        <v>73</v>
      </c>
      <c r="I641" s="21" t="s">
        <v>90</v>
      </c>
      <c r="J641" s="68">
        <f>+MONTH(ExpenseTable[[#This Row],[Voucher Date]])</f>
        <v>5</v>
      </c>
      <c r="K641" s="68" t="s">
        <v>238</v>
      </c>
    </row>
    <row r="642" spans="1:11" x14ac:dyDescent="0.35">
      <c r="A642" s="15">
        <v>45799</v>
      </c>
      <c r="B642" s="11" t="s">
        <v>642</v>
      </c>
      <c r="C642" s="19">
        <v>45794</v>
      </c>
      <c r="D642" s="13" t="s">
        <v>646</v>
      </c>
      <c r="E642" s="12">
        <v>6000</v>
      </c>
      <c r="F642" s="21" t="s">
        <v>22</v>
      </c>
      <c r="G642" s="21" t="s">
        <v>72</v>
      </c>
      <c r="H642" s="21" t="s">
        <v>73</v>
      </c>
      <c r="I642" s="21" t="s">
        <v>1123</v>
      </c>
      <c r="J642" s="68">
        <f>+MONTH(ExpenseTable[[#This Row],[Voucher Date]])</f>
        <v>5</v>
      </c>
      <c r="K642" s="68" t="s">
        <v>238</v>
      </c>
    </row>
    <row r="643" spans="1:11" x14ac:dyDescent="0.35">
      <c r="A643" s="15">
        <v>45800</v>
      </c>
      <c r="B643" s="11" t="s">
        <v>642</v>
      </c>
      <c r="C643" s="19">
        <v>45794</v>
      </c>
      <c r="D643" s="13" t="s">
        <v>647</v>
      </c>
      <c r="E643" s="12">
        <v>10000</v>
      </c>
      <c r="F643" s="21" t="s">
        <v>4</v>
      </c>
      <c r="G643" s="21" t="s">
        <v>72</v>
      </c>
      <c r="H643" s="21" t="s">
        <v>73</v>
      </c>
      <c r="I643" s="21" t="s">
        <v>1123</v>
      </c>
      <c r="J643" s="68">
        <f>+MONTH(ExpenseTable[[#This Row],[Voucher Date]])</f>
        <v>5</v>
      </c>
      <c r="K643" s="68" t="s">
        <v>238</v>
      </c>
    </row>
    <row r="644" spans="1:11" x14ac:dyDescent="0.35">
      <c r="A644" s="15">
        <v>45794</v>
      </c>
      <c r="B644" s="11" t="s">
        <v>642</v>
      </c>
      <c r="C644" s="19">
        <v>45794</v>
      </c>
      <c r="D644" s="13" t="s">
        <v>648</v>
      </c>
      <c r="E644" s="12">
        <v>15000</v>
      </c>
      <c r="F644" s="21" t="s">
        <v>30</v>
      </c>
      <c r="G644" s="21" t="s">
        <v>72</v>
      </c>
      <c r="H644" s="21" t="s">
        <v>73</v>
      </c>
      <c r="I644" s="21" t="s">
        <v>1123</v>
      </c>
      <c r="J644" s="68">
        <f>+MONTH(ExpenseTable[[#This Row],[Voucher Date]])</f>
        <v>5</v>
      </c>
      <c r="K644" s="68" t="s">
        <v>238</v>
      </c>
    </row>
    <row r="645" spans="1:11" x14ac:dyDescent="0.35">
      <c r="A645" s="15">
        <v>45799</v>
      </c>
      <c r="B645" s="11" t="s">
        <v>642</v>
      </c>
      <c r="C645" s="19">
        <v>45794</v>
      </c>
      <c r="D645" s="13" t="s">
        <v>645</v>
      </c>
      <c r="E645" s="12">
        <v>42000</v>
      </c>
      <c r="F645" s="21" t="s">
        <v>5</v>
      </c>
      <c r="G645" s="21" t="s">
        <v>72</v>
      </c>
      <c r="H645" s="21" t="s">
        <v>73</v>
      </c>
      <c r="I645" s="21" t="s">
        <v>1123</v>
      </c>
      <c r="J645" s="68">
        <f>+MONTH(ExpenseTable[[#This Row],[Voucher Date]])</f>
        <v>5</v>
      </c>
      <c r="K645" s="68" t="s">
        <v>238</v>
      </c>
    </row>
    <row r="646" spans="1:11" x14ac:dyDescent="0.35">
      <c r="A646" s="15">
        <v>45796</v>
      </c>
      <c r="B646" s="11" t="s">
        <v>642</v>
      </c>
      <c r="C646" s="19">
        <v>45794</v>
      </c>
      <c r="D646" s="13" t="s">
        <v>444</v>
      </c>
      <c r="E646" s="12">
        <v>44000</v>
      </c>
      <c r="F646" s="21" t="s">
        <v>33</v>
      </c>
      <c r="G646" s="21" t="s">
        <v>72</v>
      </c>
      <c r="H646" s="21" t="s">
        <v>73</v>
      </c>
      <c r="I646" s="21" t="s">
        <v>1123</v>
      </c>
      <c r="J646" s="68">
        <f>+MONTH(ExpenseTable[[#This Row],[Voucher Date]])</f>
        <v>5</v>
      </c>
      <c r="K646" s="68" t="s">
        <v>238</v>
      </c>
    </row>
    <row r="647" spans="1:11" x14ac:dyDescent="0.35">
      <c r="A647" s="15">
        <v>45796</v>
      </c>
      <c r="B647" s="11" t="s">
        <v>642</v>
      </c>
      <c r="C647" s="19">
        <v>45794</v>
      </c>
      <c r="D647" s="13" t="s">
        <v>643</v>
      </c>
      <c r="E647" s="12">
        <v>53000</v>
      </c>
      <c r="F647" s="21" t="s">
        <v>54</v>
      </c>
      <c r="G647" s="21" t="s">
        <v>67</v>
      </c>
      <c r="H647" s="21" t="s">
        <v>79</v>
      </c>
      <c r="I647" s="21" t="s">
        <v>1123</v>
      </c>
      <c r="J647" s="68">
        <f>+MONTH(ExpenseTable[[#This Row],[Voucher Date]])</f>
        <v>5</v>
      </c>
      <c r="K647" s="68" t="s">
        <v>238</v>
      </c>
    </row>
    <row r="648" spans="1:11" x14ac:dyDescent="0.35">
      <c r="A648" s="15">
        <v>45799</v>
      </c>
      <c r="B648" s="11" t="s">
        <v>642</v>
      </c>
      <c r="C648" s="19">
        <v>45794</v>
      </c>
      <c r="D648" s="13" t="s">
        <v>644</v>
      </c>
      <c r="E648" s="12">
        <v>75000</v>
      </c>
      <c r="F648" s="21" t="s">
        <v>5</v>
      </c>
      <c r="G648" s="21" t="s">
        <v>72</v>
      </c>
      <c r="H648" s="21" t="s">
        <v>73</v>
      </c>
      <c r="I648" s="21" t="s">
        <v>1123</v>
      </c>
      <c r="J648" s="68">
        <f>+MONTH(ExpenseTable[[#This Row],[Voucher Date]])</f>
        <v>5</v>
      </c>
      <c r="K648" s="68" t="s">
        <v>238</v>
      </c>
    </row>
    <row r="649" spans="1:11" x14ac:dyDescent="0.35">
      <c r="A649" s="15">
        <v>45800</v>
      </c>
      <c r="B649" s="11" t="s">
        <v>642</v>
      </c>
      <c r="C649" s="19">
        <v>45794</v>
      </c>
      <c r="D649" s="13" t="s">
        <v>649</v>
      </c>
      <c r="E649" s="12">
        <v>170000</v>
      </c>
      <c r="F649" s="21" t="s">
        <v>55</v>
      </c>
      <c r="G649" s="21" t="s">
        <v>72</v>
      </c>
      <c r="H649" s="21" t="s">
        <v>73</v>
      </c>
      <c r="I649" s="21" t="s">
        <v>1123</v>
      </c>
      <c r="J649" s="68">
        <f>+MONTH(ExpenseTable[[#This Row],[Voucher Date]])</f>
        <v>5</v>
      </c>
      <c r="K649" s="68" t="s">
        <v>238</v>
      </c>
    </row>
    <row r="650" spans="1:11" x14ac:dyDescent="0.35">
      <c r="A650" s="15">
        <v>45798</v>
      </c>
      <c r="B650" s="11" t="s">
        <v>650</v>
      </c>
      <c r="C650" s="19">
        <v>45796</v>
      </c>
      <c r="D650" s="13" t="s">
        <v>654</v>
      </c>
      <c r="E650" s="12">
        <v>6200</v>
      </c>
      <c r="F650" s="21" t="s">
        <v>25</v>
      </c>
      <c r="G650" s="21" t="s">
        <v>72</v>
      </c>
      <c r="H650" s="21" t="s">
        <v>73</v>
      </c>
      <c r="I650" s="21" t="s">
        <v>90</v>
      </c>
      <c r="J650" s="68">
        <f>+MONTH(ExpenseTable[[#This Row],[Voucher Date]])</f>
        <v>5</v>
      </c>
      <c r="K650" s="68" t="s">
        <v>238</v>
      </c>
    </row>
    <row r="651" spans="1:11" x14ac:dyDescent="0.35">
      <c r="A651" s="15">
        <v>45798</v>
      </c>
      <c r="B651" s="11" t="s">
        <v>650</v>
      </c>
      <c r="C651" s="19">
        <v>45796</v>
      </c>
      <c r="D651" s="13" t="s">
        <v>548</v>
      </c>
      <c r="E651" s="12">
        <v>7900</v>
      </c>
      <c r="F651" s="21" t="s">
        <v>21</v>
      </c>
      <c r="G651" s="21" t="s">
        <v>72</v>
      </c>
      <c r="H651" s="21" t="s">
        <v>73</v>
      </c>
      <c r="I651" s="21" t="s">
        <v>90</v>
      </c>
      <c r="J651" s="68">
        <f>+MONTH(ExpenseTable[[#This Row],[Voucher Date]])</f>
        <v>5</v>
      </c>
      <c r="K651" s="68" t="s">
        <v>238</v>
      </c>
    </row>
    <row r="652" spans="1:11" x14ac:dyDescent="0.35">
      <c r="A652" s="15">
        <v>45796</v>
      </c>
      <c r="B652" s="11" t="s">
        <v>650</v>
      </c>
      <c r="C652" s="19">
        <v>45796</v>
      </c>
      <c r="D652" s="13" t="s">
        <v>171</v>
      </c>
      <c r="E652" s="12">
        <v>58600</v>
      </c>
      <c r="F652" s="21" t="s">
        <v>54</v>
      </c>
      <c r="G652" s="21" t="s">
        <v>67</v>
      </c>
      <c r="H652" s="21" t="s">
        <v>79</v>
      </c>
      <c r="I652" s="21" t="s">
        <v>90</v>
      </c>
      <c r="J652" s="68">
        <f>+MONTH(ExpenseTable[[#This Row],[Voucher Date]])</f>
        <v>5</v>
      </c>
      <c r="K652" s="68" t="s">
        <v>238</v>
      </c>
    </row>
    <row r="653" spans="1:11" x14ac:dyDescent="0.35">
      <c r="A653" s="15">
        <v>45798</v>
      </c>
      <c r="B653" s="11" t="s">
        <v>650</v>
      </c>
      <c r="C653" s="19">
        <v>45796</v>
      </c>
      <c r="D653" s="13" t="s">
        <v>652</v>
      </c>
      <c r="E653" s="12">
        <v>70000</v>
      </c>
      <c r="F653" s="21" t="s">
        <v>5</v>
      </c>
      <c r="G653" s="21" t="s">
        <v>72</v>
      </c>
      <c r="H653" s="21" t="s">
        <v>73</v>
      </c>
      <c r="I653" s="21" t="s">
        <v>90</v>
      </c>
      <c r="J653" s="68">
        <f>+MONTH(ExpenseTable[[#This Row],[Voucher Date]])</f>
        <v>5</v>
      </c>
      <c r="K653" s="68" t="s">
        <v>238</v>
      </c>
    </row>
    <row r="654" spans="1:11" x14ac:dyDescent="0.35">
      <c r="A654" s="15">
        <v>45798</v>
      </c>
      <c r="B654" s="11" t="s">
        <v>650</v>
      </c>
      <c r="C654" s="19">
        <v>45796</v>
      </c>
      <c r="D654" s="13" t="s">
        <v>651</v>
      </c>
      <c r="E654" s="12">
        <v>210000</v>
      </c>
      <c r="F654" s="21" t="s">
        <v>5</v>
      </c>
      <c r="G654" s="21" t="s">
        <v>72</v>
      </c>
      <c r="H654" s="21" t="s">
        <v>73</v>
      </c>
      <c r="I654" s="21" t="s">
        <v>90</v>
      </c>
      <c r="J654" s="68">
        <f>+MONTH(ExpenseTable[[#This Row],[Voucher Date]])</f>
        <v>5</v>
      </c>
      <c r="K654" s="68" t="s">
        <v>238</v>
      </c>
    </row>
    <row r="655" spans="1:11" x14ac:dyDescent="0.35">
      <c r="A655" s="15">
        <v>45797</v>
      </c>
      <c r="B655" s="11" t="s">
        <v>650</v>
      </c>
      <c r="C655" s="19">
        <v>45796</v>
      </c>
      <c r="D655" s="13" t="s">
        <v>653</v>
      </c>
      <c r="E655" s="12">
        <v>250000</v>
      </c>
      <c r="F655" s="21" t="s">
        <v>29</v>
      </c>
      <c r="G655" s="21" t="s">
        <v>72</v>
      </c>
      <c r="H655" s="21" t="s">
        <v>73</v>
      </c>
      <c r="I655" s="21" t="s">
        <v>90</v>
      </c>
      <c r="J655" s="68">
        <f>+MONTH(ExpenseTable[[#This Row],[Voucher Date]])</f>
        <v>5</v>
      </c>
      <c r="K655" s="68" t="s">
        <v>238</v>
      </c>
    </row>
    <row r="656" spans="1:11" x14ac:dyDescent="0.35">
      <c r="A656" s="15">
        <v>45797</v>
      </c>
      <c r="B656" s="11" t="s">
        <v>655</v>
      </c>
      <c r="C656" s="19">
        <v>45797</v>
      </c>
      <c r="D656" s="13" t="s">
        <v>662</v>
      </c>
      <c r="E656" s="12">
        <v>3000</v>
      </c>
      <c r="F656" s="21" t="s">
        <v>54</v>
      </c>
      <c r="G656" s="21" t="s">
        <v>80</v>
      </c>
      <c r="H656" s="21" t="s">
        <v>81</v>
      </c>
      <c r="I656" s="21" t="s">
        <v>91</v>
      </c>
      <c r="J656" s="68">
        <f>+MONTH(ExpenseTable[[#This Row],[Voucher Date]])</f>
        <v>5</v>
      </c>
      <c r="K656" s="68" t="s">
        <v>238</v>
      </c>
    </row>
    <row r="657" spans="1:11" x14ac:dyDescent="0.35">
      <c r="A657" s="15">
        <v>45797</v>
      </c>
      <c r="B657" s="11" t="s">
        <v>655</v>
      </c>
      <c r="C657" s="19">
        <v>45797</v>
      </c>
      <c r="D657" s="13" t="s">
        <v>660</v>
      </c>
      <c r="E657" s="12">
        <v>5000</v>
      </c>
      <c r="F657" s="21" t="s">
        <v>54</v>
      </c>
      <c r="G657" s="21" t="s">
        <v>80</v>
      </c>
      <c r="H657" s="21" t="s">
        <v>81</v>
      </c>
      <c r="I657" s="21" t="s">
        <v>91</v>
      </c>
      <c r="J657" s="68">
        <f>+MONTH(ExpenseTable[[#This Row],[Voucher Date]])</f>
        <v>5</v>
      </c>
      <c r="K657" s="68" t="s">
        <v>238</v>
      </c>
    </row>
    <row r="658" spans="1:11" x14ac:dyDescent="0.35">
      <c r="A658" s="15">
        <v>45797</v>
      </c>
      <c r="B658" s="11" t="s">
        <v>655</v>
      </c>
      <c r="C658" s="19">
        <v>45797</v>
      </c>
      <c r="D658" s="13" t="s">
        <v>660</v>
      </c>
      <c r="E658" s="12">
        <v>6000</v>
      </c>
      <c r="F658" s="21" t="s">
        <v>54</v>
      </c>
      <c r="G658" s="21" t="s">
        <v>80</v>
      </c>
      <c r="H658" s="21" t="s">
        <v>81</v>
      </c>
      <c r="I658" s="21" t="s">
        <v>91</v>
      </c>
      <c r="J658" s="68">
        <f>+MONTH(ExpenseTable[[#This Row],[Voucher Date]])</f>
        <v>5</v>
      </c>
      <c r="K658" s="68" t="s">
        <v>238</v>
      </c>
    </row>
    <row r="659" spans="1:11" x14ac:dyDescent="0.35">
      <c r="A659" s="15">
        <v>45797</v>
      </c>
      <c r="B659" s="11" t="s">
        <v>655</v>
      </c>
      <c r="C659" s="19">
        <v>45797</v>
      </c>
      <c r="D659" s="13" t="s">
        <v>661</v>
      </c>
      <c r="E659" s="12">
        <v>10000</v>
      </c>
      <c r="F659" s="21" t="s">
        <v>54</v>
      </c>
      <c r="G659" s="21" t="s">
        <v>80</v>
      </c>
      <c r="H659" s="21" t="s">
        <v>81</v>
      </c>
      <c r="I659" s="21" t="s">
        <v>91</v>
      </c>
      <c r="J659" s="68">
        <f>+MONTH(ExpenseTable[[#This Row],[Voucher Date]])</f>
        <v>5</v>
      </c>
      <c r="K659" s="68" t="s">
        <v>238</v>
      </c>
    </row>
    <row r="660" spans="1:11" x14ac:dyDescent="0.35">
      <c r="A660" s="15">
        <v>45797</v>
      </c>
      <c r="B660" s="11" t="s">
        <v>655</v>
      </c>
      <c r="C660" s="19">
        <v>45797</v>
      </c>
      <c r="D660" s="13" t="s">
        <v>656</v>
      </c>
      <c r="E660" s="12">
        <v>12000</v>
      </c>
      <c r="F660" s="21" t="s">
        <v>54</v>
      </c>
      <c r="G660" s="21" t="s">
        <v>80</v>
      </c>
      <c r="H660" s="21" t="s">
        <v>81</v>
      </c>
      <c r="I660" s="21" t="s">
        <v>91</v>
      </c>
      <c r="J660" s="68">
        <f>+MONTH(ExpenseTable[[#This Row],[Voucher Date]])</f>
        <v>5</v>
      </c>
      <c r="K660" s="68" t="s">
        <v>238</v>
      </c>
    </row>
    <row r="661" spans="1:11" x14ac:dyDescent="0.35">
      <c r="A661" s="15">
        <v>45797</v>
      </c>
      <c r="B661" s="11" t="s">
        <v>655</v>
      </c>
      <c r="C661" s="19">
        <v>45797</v>
      </c>
      <c r="D661" s="13" t="s">
        <v>657</v>
      </c>
      <c r="E661" s="12">
        <v>55000</v>
      </c>
      <c r="F661" s="21" t="s">
        <v>54</v>
      </c>
      <c r="G661" s="21" t="s">
        <v>80</v>
      </c>
      <c r="H661" s="21" t="s">
        <v>81</v>
      </c>
      <c r="I661" s="21" t="s">
        <v>91</v>
      </c>
      <c r="J661" s="68">
        <f>+MONTH(ExpenseTable[[#This Row],[Voucher Date]])</f>
        <v>5</v>
      </c>
      <c r="K661" s="68" t="s">
        <v>238</v>
      </c>
    </row>
    <row r="662" spans="1:11" x14ac:dyDescent="0.35">
      <c r="A662" s="15">
        <v>45797</v>
      </c>
      <c r="B662" s="11" t="s">
        <v>655</v>
      </c>
      <c r="C662" s="19">
        <v>45797</v>
      </c>
      <c r="D662" s="13" t="s">
        <v>658</v>
      </c>
      <c r="E662" s="12">
        <v>71400</v>
      </c>
      <c r="F662" s="21" t="s">
        <v>54</v>
      </c>
      <c r="G662" s="21" t="s">
        <v>80</v>
      </c>
      <c r="H662" s="21" t="s">
        <v>81</v>
      </c>
      <c r="I662" s="21" t="s">
        <v>91</v>
      </c>
      <c r="J662" s="68">
        <f>+MONTH(ExpenseTable[[#This Row],[Voucher Date]])</f>
        <v>5</v>
      </c>
      <c r="K662" s="68" t="s">
        <v>238</v>
      </c>
    </row>
    <row r="663" spans="1:11" x14ac:dyDescent="0.35">
      <c r="A663" s="15">
        <v>45797</v>
      </c>
      <c r="B663" s="11" t="s">
        <v>655</v>
      </c>
      <c r="C663" s="19">
        <v>45797</v>
      </c>
      <c r="D663" s="13" t="s">
        <v>659</v>
      </c>
      <c r="E663" s="12">
        <v>81600</v>
      </c>
      <c r="F663" s="21" t="s">
        <v>54</v>
      </c>
      <c r="G663" s="21" t="s">
        <v>80</v>
      </c>
      <c r="H663" s="21" t="s">
        <v>81</v>
      </c>
      <c r="I663" s="21" t="s">
        <v>91</v>
      </c>
      <c r="J663" s="68">
        <f>+MONTH(ExpenseTable[[#This Row],[Voucher Date]])</f>
        <v>5</v>
      </c>
      <c r="K663" s="68" t="s">
        <v>238</v>
      </c>
    </row>
    <row r="664" spans="1:11" x14ac:dyDescent="0.35">
      <c r="A664" s="15">
        <v>45799</v>
      </c>
      <c r="B664" s="11" t="s">
        <v>663</v>
      </c>
      <c r="C664" s="19">
        <v>45799</v>
      </c>
      <c r="D664" s="13" t="s">
        <v>667</v>
      </c>
      <c r="E664" s="12">
        <v>2500</v>
      </c>
      <c r="F664" s="21" t="s">
        <v>55</v>
      </c>
      <c r="G664" s="21" t="s">
        <v>72</v>
      </c>
      <c r="H664" s="21" t="s">
        <v>73</v>
      </c>
      <c r="I664" s="21" t="s">
        <v>1123</v>
      </c>
      <c r="J664" s="68">
        <f>+MONTH(ExpenseTable[[#This Row],[Voucher Date]])</f>
        <v>5</v>
      </c>
      <c r="K664" s="68" t="s">
        <v>238</v>
      </c>
    </row>
    <row r="665" spans="1:11" x14ac:dyDescent="0.35">
      <c r="A665" s="15">
        <v>45799</v>
      </c>
      <c r="B665" s="11" t="s">
        <v>663</v>
      </c>
      <c r="C665" s="19">
        <v>45799</v>
      </c>
      <c r="D665" s="13" t="s">
        <v>666</v>
      </c>
      <c r="E665" s="12">
        <v>3000</v>
      </c>
      <c r="F665" s="21" t="s">
        <v>55</v>
      </c>
      <c r="G665" s="21" t="s">
        <v>72</v>
      </c>
      <c r="H665" s="21" t="s">
        <v>73</v>
      </c>
      <c r="I665" s="21" t="s">
        <v>1123</v>
      </c>
      <c r="J665" s="68">
        <f>+MONTH(ExpenseTable[[#This Row],[Voucher Date]])</f>
        <v>5</v>
      </c>
      <c r="K665" s="68" t="s">
        <v>238</v>
      </c>
    </row>
    <row r="666" spans="1:11" x14ac:dyDescent="0.35">
      <c r="A666" s="15">
        <v>45801</v>
      </c>
      <c r="B666" s="11" t="s">
        <v>663</v>
      </c>
      <c r="C666" s="19">
        <v>45799</v>
      </c>
      <c r="D666" s="13" t="s">
        <v>668</v>
      </c>
      <c r="E666" s="12">
        <v>6000</v>
      </c>
      <c r="F666" s="21" t="s">
        <v>55</v>
      </c>
      <c r="G666" s="21" t="s">
        <v>72</v>
      </c>
      <c r="H666" s="21" t="s">
        <v>73</v>
      </c>
      <c r="I666" s="21" t="s">
        <v>1123</v>
      </c>
      <c r="J666" s="68">
        <f>+MONTH(ExpenseTable[[#This Row],[Voucher Date]])</f>
        <v>5</v>
      </c>
      <c r="K666" s="68" t="s">
        <v>238</v>
      </c>
    </row>
    <row r="667" spans="1:11" x14ac:dyDescent="0.35">
      <c r="A667" s="15">
        <v>45804</v>
      </c>
      <c r="B667" s="11" t="s">
        <v>663</v>
      </c>
      <c r="C667" s="19">
        <v>45799</v>
      </c>
      <c r="D667" s="13" t="s">
        <v>665</v>
      </c>
      <c r="E667" s="12">
        <v>12000</v>
      </c>
      <c r="F667" s="21" t="s">
        <v>54</v>
      </c>
      <c r="G667" s="21" t="s">
        <v>67</v>
      </c>
      <c r="H667" s="21" t="s">
        <v>79</v>
      </c>
      <c r="I667" s="21" t="s">
        <v>1123</v>
      </c>
      <c r="J667" s="68">
        <f>+MONTH(ExpenseTable[[#This Row],[Voucher Date]])</f>
        <v>5</v>
      </c>
      <c r="K667" s="68" t="s">
        <v>238</v>
      </c>
    </row>
    <row r="668" spans="1:11" x14ac:dyDescent="0.35">
      <c r="A668" s="15">
        <v>45801</v>
      </c>
      <c r="B668" s="11" t="s">
        <v>663</v>
      </c>
      <c r="C668" s="19">
        <v>45799</v>
      </c>
      <c r="D668" s="13" t="s">
        <v>171</v>
      </c>
      <c r="E668" s="12">
        <v>20000</v>
      </c>
      <c r="F668" s="21" t="s">
        <v>54</v>
      </c>
      <c r="G668" s="21" t="s">
        <v>67</v>
      </c>
      <c r="H668" s="21" t="s">
        <v>79</v>
      </c>
      <c r="I668" s="21" t="s">
        <v>1123</v>
      </c>
      <c r="J668" s="68">
        <f>+MONTH(ExpenseTable[[#This Row],[Voucher Date]])</f>
        <v>5</v>
      </c>
      <c r="K668" s="68" t="s">
        <v>238</v>
      </c>
    </row>
    <row r="669" spans="1:11" x14ac:dyDescent="0.35">
      <c r="A669" s="15">
        <v>45804</v>
      </c>
      <c r="B669" s="11" t="s">
        <v>663</v>
      </c>
      <c r="C669" s="19">
        <v>45799</v>
      </c>
      <c r="D669" s="13" t="s">
        <v>189</v>
      </c>
      <c r="E669" s="12">
        <v>30000</v>
      </c>
      <c r="F669" s="21" t="s">
        <v>40</v>
      </c>
      <c r="G669" s="21" t="s">
        <v>72</v>
      </c>
      <c r="H669" s="21" t="s">
        <v>73</v>
      </c>
      <c r="I669" s="21" t="s">
        <v>1123</v>
      </c>
      <c r="J669" s="68">
        <f>+MONTH(ExpenseTable[[#This Row],[Voucher Date]])</f>
        <v>5</v>
      </c>
      <c r="K669" s="68" t="s">
        <v>238</v>
      </c>
    </row>
    <row r="670" spans="1:11" x14ac:dyDescent="0.35">
      <c r="A670" s="15">
        <v>45802</v>
      </c>
      <c r="B670" s="11" t="s">
        <v>663</v>
      </c>
      <c r="C670" s="19">
        <v>45799</v>
      </c>
      <c r="D670" s="13" t="s">
        <v>171</v>
      </c>
      <c r="E670" s="12">
        <v>50000</v>
      </c>
      <c r="F670" s="21" t="s">
        <v>54</v>
      </c>
      <c r="G670" s="21" t="s">
        <v>67</v>
      </c>
      <c r="H670" s="21" t="s">
        <v>79</v>
      </c>
      <c r="I670" s="21" t="s">
        <v>1123</v>
      </c>
      <c r="J670" s="68">
        <f>+MONTH(ExpenseTable[[#This Row],[Voucher Date]])</f>
        <v>5</v>
      </c>
      <c r="K670" s="68" t="s">
        <v>238</v>
      </c>
    </row>
    <row r="671" spans="1:11" x14ac:dyDescent="0.35">
      <c r="A671" s="15">
        <v>45801</v>
      </c>
      <c r="B671" s="11" t="s">
        <v>663</v>
      </c>
      <c r="C671" s="19">
        <v>45799</v>
      </c>
      <c r="D671" s="13" t="s">
        <v>664</v>
      </c>
      <c r="E671" s="12">
        <v>71400</v>
      </c>
      <c r="F671" s="21" t="s">
        <v>54</v>
      </c>
      <c r="G671" s="21" t="s">
        <v>80</v>
      </c>
      <c r="H671" s="21" t="s">
        <v>81</v>
      </c>
      <c r="I671" s="21" t="s">
        <v>1123</v>
      </c>
      <c r="J671" s="68">
        <f>+MONTH(ExpenseTable[[#This Row],[Voucher Date]])</f>
        <v>5</v>
      </c>
      <c r="K671" s="68" t="s">
        <v>238</v>
      </c>
    </row>
    <row r="672" spans="1:11" x14ac:dyDescent="0.35">
      <c r="A672" s="15">
        <v>45804</v>
      </c>
      <c r="B672" s="11" t="s">
        <v>669</v>
      </c>
      <c r="C672" s="19">
        <v>45803</v>
      </c>
      <c r="D672" s="13" t="s">
        <v>670</v>
      </c>
      <c r="E672" s="12">
        <v>4000</v>
      </c>
      <c r="F672" s="21" t="s">
        <v>54</v>
      </c>
      <c r="G672" s="21" t="s">
        <v>80</v>
      </c>
      <c r="H672" s="21" t="s">
        <v>81</v>
      </c>
      <c r="I672" s="21" t="s">
        <v>90</v>
      </c>
      <c r="J672" s="68">
        <f>+MONTH(ExpenseTable[[#This Row],[Voucher Date]])</f>
        <v>5</v>
      </c>
      <c r="K672" s="68" t="s">
        <v>238</v>
      </c>
    </row>
    <row r="673" spans="1:11" x14ac:dyDescent="0.35">
      <c r="A673" s="15">
        <v>45803</v>
      </c>
      <c r="B673" s="11" t="s">
        <v>669</v>
      </c>
      <c r="C673" s="19">
        <v>45803</v>
      </c>
      <c r="D673" s="13" t="s">
        <v>393</v>
      </c>
      <c r="E673" s="12">
        <v>5100</v>
      </c>
      <c r="F673" s="21" t="s">
        <v>55</v>
      </c>
      <c r="G673" s="21" t="s">
        <v>72</v>
      </c>
      <c r="H673" s="21" t="s">
        <v>73</v>
      </c>
      <c r="I673" s="21" t="s">
        <v>90</v>
      </c>
      <c r="J673" s="68">
        <f>+MONTH(ExpenseTable[[#This Row],[Voucher Date]])</f>
        <v>5</v>
      </c>
      <c r="K673" s="68" t="s">
        <v>238</v>
      </c>
    </row>
    <row r="674" spans="1:11" x14ac:dyDescent="0.35">
      <c r="A674" s="15">
        <v>45803</v>
      </c>
      <c r="B674" s="11" t="s">
        <v>669</v>
      </c>
      <c r="C674" s="19">
        <v>45803</v>
      </c>
      <c r="D674" s="13" t="s">
        <v>673</v>
      </c>
      <c r="E674" s="12">
        <v>7000</v>
      </c>
      <c r="F674" s="21" t="s">
        <v>23</v>
      </c>
      <c r="G674" s="21" t="s">
        <v>72</v>
      </c>
      <c r="H674" s="21" t="s">
        <v>73</v>
      </c>
      <c r="I674" s="21" t="s">
        <v>90</v>
      </c>
      <c r="J674" s="68">
        <f>+MONTH(ExpenseTable[[#This Row],[Voucher Date]])</f>
        <v>5</v>
      </c>
      <c r="K674" s="68" t="s">
        <v>238</v>
      </c>
    </row>
    <row r="675" spans="1:11" x14ac:dyDescent="0.35">
      <c r="A675" s="15">
        <v>45808</v>
      </c>
      <c r="B675" s="11" t="s">
        <v>669</v>
      </c>
      <c r="C675" s="19">
        <v>45803</v>
      </c>
      <c r="D675" s="13" t="s">
        <v>676</v>
      </c>
      <c r="E675" s="12">
        <v>7500</v>
      </c>
      <c r="F675" s="21" t="s">
        <v>55</v>
      </c>
      <c r="G675" s="21" t="s">
        <v>72</v>
      </c>
      <c r="H675" s="21" t="s">
        <v>73</v>
      </c>
      <c r="I675" s="21" t="s">
        <v>90</v>
      </c>
      <c r="J675" s="68">
        <f>+MONTH(ExpenseTable[[#This Row],[Voucher Date]])</f>
        <v>5</v>
      </c>
      <c r="K675" s="68" t="s">
        <v>238</v>
      </c>
    </row>
    <row r="676" spans="1:11" x14ac:dyDescent="0.35">
      <c r="A676" s="15">
        <v>45803</v>
      </c>
      <c r="B676" s="11" t="s">
        <v>669</v>
      </c>
      <c r="C676" s="19">
        <v>45803</v>
      </c>
      <c r="D676" s="13" t="s">
        <v>674</v>
      </c>
      <c r="E676" s="12">
        <v>30000</v>
      </c>
      <c r="F676" s="21" t="s">
        <v>55</v>
      </c>
      <c r="G676" s="21" t="s">
        <v>72</v>
      </c>
      <c r="H676" s="21" t="s">
        <v>73</v>
      </c>
      <c r="I676" s="21" t="s">
        <v>90</v>
      </c>
      <c r="J676" s="68">
        <f>+MONTH(ExpenseTable[[#This Row],[Voucher Date]])</f>
        <v>5</v>
      </c>
      <c r="K676" s="68" t="s">
        <v>238</v>
      </c>
    </row>
    <row r="677" spans="1:11" x14ac:dyDescent="0.35">
      <c r="A677" s="15">
        <v>45805</v>
      </c>
      <c r="B677" s="11" t="s">
        <v>669</v>
      </c>
      <c r="C677" s="19">
        <v>45803</v>
      </c>
      <c r="D677" s="13" t="s">
        <v>671</v>
      </c>
      <c r="E677" s="12">
        <v>44000</v>
      </c>
      <c r="F677" s="21" t="s">
        <v>22</v>
      </c>
      <c r="G677" s="21" t="s">
        <v>80</v>
      </c>
      <c r="H677" s="21" t="s">
        <v>81</v>
      </c>
      <c r="I677" s="21" t="s">
        <v>90</v>
      </c>
      <c r="J677" s="68">
        <f>+MONTH(ExpenseTable[[#This Row],[Voucher Date]])</f>
        <v>5</v>
      </c>
      <c r="K677" s="68" t="s">
        <v>238</v>
      </c>
    </row>
    <row r="678" spans="1:11" x14ac:dyDescent="0.35">
      <c r="A678" s="15">
        <v>45803</v>
      </c>
      <c r="B678" s="11" t="s">
        <v>669</v>
      </c>
      <c r="C678" s="19">
        <v>45803</v>
      </c>
      <c r="D678" s="13" t="s">
        <v>675</v>
      </c>
      <c r="E678" s="12">
        <v>85000</v>
      </c>
      <c r="F678" s="21" t="s">
        <v>55</v>
      </c>
      <c r="G678" s="21" t="s">
        <v>72</v>
      </c>
      <c r="H678" s="21" t="s">
        <v>73</v>
      </c>
      <c r="I678" s="21" t="s">
        <v>90</v>
      </c>
      <c r="J678" s="68">
        <f>+MONTH(ExpenseTable[[#This Row],[Voucher Date]])</f>
        <v>5</v>
      </c>
      <c r="K678" s="68" t="s">
        <v>238</v>
      </c>
    </row>
    <row r="679" spans="1:11" x14ac:dyDescent="0.35">
      <c r="A679" s="15">
        <v>45804</v>
      </c>
      <c r="B679" s="11" t="s">
        <v>669</v>
      </c>
      <c r="C679" s="19">
        <v>45803</v>
      </c>
      <c r="D679" s="13" t="s">
        <v>672</v>
      </c>
      <c r="E679" s="12">
        <v>204000</v>
      </c>
      <c r="F679" s="21" t="s">
        <v>19</v>
      </c>
      <c r="G679" s="21" t="s">
        <v>72</v>
      </c>
      <c r="H679" s="21" t="s">
        <v>73</v>
      </c>
      <c r="I679" s="21" t="s">
        <v>90</v>
      </c>
      <c r="J679" s="68">
        <f>+MONTH(ExpenseTable[[#This Row],[Voucher Date]])</f>
        <v>5</v>
      </c>
      <c r="K679" s="68" t="s">
        <v>238</v>
      </c>
    </row>
    <row r="680" spans="1:11" x14ac:dyDescent="0.35">
      <c r="A680" s="15">
        <v>45807</v>
      </c>
      <c r="B680" s="11" t="s">
        <v>677</v>
      </c>
      <c r="C680" s="19">
        <v>45804</v>
      </c>
      <c r="D680" s="13" t="s">
        <v>681</v>
      </c>
      <c r="E680" s="12">
        <v>2000</v>
      </c>
      <c r="F680" s="21" t="s">
        <v>27</v>
      </c>
      <c r="G680" s="21" t="s">
        <v>72</v>
      </c>
      <c r="H680" s="21" t="s">
        <v>73</v>
      </c>
      <c r="I680" s="21" t="s">
        <v>1123</v>
      </c>
      <c r="J680" s="68">
        <f>+MONTH(ExpenseTable[[#This Row],[Voucher Date]])</f>
        <v>5</v>
      </c>
      <c r="K680" s="68" t="s">
        <v>238</v>
      </c>
    </row>
    <row r="681" spans="1:11" x14ac:dyDescent="0.35">
      <c r="A681" s="15">
        <v>45807</v>
      </c>
      <c r="B681" s="11" t="s">
        <v>677</v>
      </c>
      <c r="C681" s="19">
        <v>45804</v>
      </c>
      <c r="D681" s="13" t="s">
        <v>682</v>
      </c>
      <c r="E681" s="12">
        <v>10000</v>
      </c>
      <c r="F681" s="21" t="s">
        <v>30</v>
      </c>
      <c r="G681" s="21" t="s">
        <v>72</v>
      </c>
      <c r="H681" s="21" t="s">
        <v>73</v>
      </c>
      <c r="I681" s="21" t="s">
        <v>1123</v>
      </c>
      <c r="J681" s="68">
        <f>+MONTH(ExpenseTable[[#This Row],[Voucher Date]])</f>
        <v>5</v>
      </c>
      <c r="K681" s="68" t="s">
        <v>238</v>
      </c>
    </row>
    <row r="682" spans="1:11" x14ac:dyDescent="0.35">
      <c r="A682" s="15">
        <v>45807</v>
      </c>
      <c r="B682" s="11" t="s">
        <v>677</v>
      </c>
      <c r="C682" s="19">
        <v>45804</v>
      </c>
      <c r="D682" s="13" t="s">
        <v>123</v>
      </c>
      <c r="E682" s="12">
        <v>15000</v>
      </c>
      <c r="F682" s="21" t="s">
        <v>54</v>
      </c>
      <c r="G682" s="21" t="s">
        <v>80</v>
      </c>
      <c r="H682" s="21" t="s">
        <v>73</v>
      </c>
      <c r="I682" s="21" t="s">
        <v>1123</v>
      </c>
      <c r="J682" s="68">
        <f>+MONTH(ExpenseTable[[#This Row],[Voucher Date]])</f>
        <v>5</v>
      </c>
      <c r="K682" s="68" t="s">
        <v>238</v>
      </c>
    </row>
    <row r="683" spans="1:11" x14ac:dyDescent="0.35">
      <c r="A683" s="15">
        <v>45801</v>
      </c>
      <c r="B683" s="11" t="s">
        <v>677</v>
      </c>
      <c r="C683" s="19">
        <v>45804</v>
      </c>
      <c r="D683" s="13" t="s">
        <v>679</v>
      </c>
      <c r="E683" s="12">
        <v>15000</v>
      </c>
      <c r="F683" s="21" t="s">
        <v>37</v>
      </c>
      <c r="G683" s="21" t="s">
        <v>67</v>
      </c>
      <c r="H683" s="21" t="s">
        <v>79</v>
      </c>
      <c r="I683" s="21" t="s">
        <v>1123</v>
      </c>
      <c r="J683" s="68">
        <f>+MONTH(ExpenseTable[[#This Row],[Voucher Date]])</f>
        <v>5</v>
      </c>
      <c r="K683" s="68" t="s">
        <v>238</v>
      </c>
    </row>
    <row r="684" spans="1:11" x14ac:dyDescent="0.35">
      <c r="A684" s="15">
        <v>45801</v>
      </c>
      <c r="B684" s="11" t="s">
        <v>677</v>
      </c>
      <c r="C684" s="19">
        <v>45804</v>
      </c>
      <c r="D684" s="13" t="s">
        <v>680</v>
      </c>
      <c r="E684" s="12">
        <v>40000</v>
      </c>
      <c r="F684" s="21" t="s">
        <v>22</v>
      </c>
      <c r="G684" s="21" t="s">
        <v>72</v>
      </c>
      <c r="H684" s="21" t="s">
        <v>73</v>
      </c>
      <c r="I684" s="21" t="s">
        <v>1123</v>
      </c>
      <c r="J684" s="68">
        <f>+MONTH(ExpenseTable[[#This Row],[Voucher Date]])</f>
        <v>5</v>
      </c>
      <c r="K684" s="68" t="s">
        <v>238</v>
      </c>
    </row>
    <row r="685" spans="1:11" x14ac:dyDescent="0.35">
      <c r="A685" s="15">
        <v>45805</v>
      </c>
      <c r="B685" s="11" t="s">
        <v>677</v>
      </c>
      <c r="C685" s="19">
        <v>45804</v>
      </c>
      <c r="D685" s="13" t="s">
        <v>288</v>
      </c>
      <c r="E685" s="12">
        <v>40000</v>
      </c>
      <c r="F685" s="21" t="s">
        <v>54</v>
      </c>
      <c r="G685" s="21" t="s">
        <v>67</v>
      </c>
      <c r="H685" s="21" t="s">
        <v>79</v>
      </c>
      <c r="I685" s="21" t="s">
        <v>1123</v>
      </c>
      <c r="J685" s="68">
        <f>+MONTH(ExpenseTable[[#This Row],[Voucher Date]])</f>
        <v>5</v>
      </c>
      <c r="K685" s="68" t="s">
        <v>238</v>
      </c>
    </row>
    <row r="686" spans="1:11" x14ac:dyDescent="0.35">
      <c r="A686" s="15">
        <v>45805</v>
      </c>
      <c r="B686" s="11" t="s">
        <v>677</v>
      </c>
      <c r="C686" s="19">
        <v>45804</v>
      </c>
      <c r="D686" s="13" t="s">
        <v>189</v>
      </c>
      <c r="E686" s="12">
        <v>60000</v>
      </c>
      <c r="F686" s="21" t="s">
        <v>40</v>
      </c>
      <c r="G686" s="21" t="s">
        <v>72</v>
      </c>
      <c r="H686" s="21" t="s">
        <v>73</v>
      </c>
      <c r="I686" s="21" t="s">
        <v>1123</v>
      </c>
      <c r="J686" s="68">
        <f>+MONTH(ExpenseTable[[#This Row],[Voucher Date]])</f>
        <v>5</v>
      </c>
      <c r="K686" s="68" t="s">
        <v>238</v>
      </c>
    </row>
    <row r="687" spans="1:11" x14ac:dyDescent="0.35">
      <c r="A687" s="15">
        <v>45807</v>
      </c>
      <c r="B687" s="11" t="s">
        <v>677</v>
      </c>
      <c r="C687" s="19">
        <v>45804</v>
      </c>
      <c r="D687" s="13" t="s">
        <v>678</v>
      </c>
      <c r="E687" s="12">
        <v>80000</v>
      </c>
      <c r="F687" s="21" t="s">
        <v>20</v>
      </c>
      <c r="G687" s="21" t="s">
        <v>72</v>
      </c>
      <c r="H687" s="21" t="s">
        <v>73</v>
      </c>
      <c r="I687" s="21" t="s">
        <v>1123</v>
      </c>
      <c r="J687" s="68">
        <f>+MONTH(ExpenseTable[[#This Row],[Voucher Date]])</f>
        <v>5</v>
      </c>
      <c r="K687" s="68" t="s">
        <v>238</v>
      </c>
    </row>
    <row r="688" spans="1:11" x14ac:dyDescent="0.35">
      <c r="A688" s="15">
        <v>45804</v>
      </c>
      <c r="B688" s="11" t="s">
        <v>683</v>
      </c>
      <c r="C688" s="19">
        <v>45805</v>
      </c>
      <c r="D688" s="13" t="s">
        <v>684</v>
      </c>
      <c r="E688" s="12">
        <v>4500</v>
      </c>
      <c r="F688" s="21" t="s">
        <v>54</v>
      </c>
      <c r="G688" s="21" t="s">
        <v>67</v>
      </c>
      <c r="H688" s="21" t="s">
        <v>79</v>
      </c>
      <c r="I688" s="21" t="s">
        <v>1123</v>
      </c>
      <c r="J688" s="68">
        <f>+MONTH(ExpenseTable[[#This Row],[Voucher Date]])</f>
        <v>5</v>
      </c>
      <c r="K688" s="68" t="s">
        <v>238</v>
      </c>
    </row>
    <row r="689" spans="1:11" x14ac:dyDescent="0.35">
      <c r="A689" s="15">
        <v>45805</v>
      </c>
      <c r="B689" s="11" t="s">
        <v>683</v>
      </c>
      <c r="C689" s="19">
        <v>45805</v>
      </c>
      <c r="D689" s="13" t="s">
        <v>685</v>
      </c>
      <c r="E689" s="12">
        <v>10000</v>
      </c>
      <c r="F689" s="21" t="s">
        <v>54</v>
      </c>
      <c r="G689" s="21" t="s">
        <v>80</v>
      </c>
      <c r="H689" s="21" t="s">
        <v>81</v>
      </c>
      <c r="I689" s="21" t="s">
        <v>1123</v>
      </c>
      <c r="J689" s="68">
        <f>+MONTH(ExpenseTable[[#This Row],[Voucher Date]])</f>
        <v>5</v>
      </c>
      <c r="K689" s="68" t="s">
        <v>238</v>
      </c>
    </row>
    <row r="690" spans="1:11" x14ac:dyDescent="0.35">
      <c r="A690" s="15">
        <v>45808</v>
      </c>
      <c r="B690" s="11" t="s">
        <v>683</v>
      </c>
      <c r="C690" s="19">
        <v>45805</v>
      </c>
      <c r="D690" s="13" t="s">
        <v>686</v>
      </c>
      <c r="E690" s="12">
        <v>20000</v>
      </c>
      <c r="F690" s="21" t="s">
        <v>54</v>
      </c>
      <c r="G690" s="21" t="s">
        <v>80</v>
      </c>
      <c r="H690" s="21" t="s">
        <v>81</v>
      </c>
      <c r="I690" s="21" t="s">
        <v>1123</v>
      </c>
      <c r="J690" s="68">
        <f>+MONTH(ExpenseTable[[#This Row],[Voucher Date]])</f>
        <v>5</v>
      </c>
      <c r="K690" s="68" t="s">
        <v>238</v>
      </c>
    </row>
    <row r="691" spans="1:11" x14ac:dyDescent="0.35">
      <c r="A691" s="15">
        <v>45805</v>
      </c>
      <c r="B691" s="11" t="s">
        <v>683</v>
      </c>
      <c r="C691" s="19">
        <v>45805</v>
      </c>
      <c r="D691" s="13" t="s">
        <v>124</v>
      </c>
      <c r="E691" s="12">
        <v>75000</v>
      </c>
      <c r="F691" s="21" t="s">
        <v>33</v>
      </c>
      <c r="G691" s="21" t="s">
        <v>72</v>
      </c>
      <c r="H691" s="21" t="s">
        <v>73</v>
      </c>
      <c r="I691" s="21" t="s">
        <v>1123</v>
      </c>
      <c r="J691" s="68">
        <f>+MONTH(ExpenseTable[[#This Row],[Voucher Date]])</f>
        <v>5</v>
      </c>
      <c r="K691" s="68" t="s">
        <v>238</v>
      </c>
    </row>
    <row r="692" spans="1:11" x14ac:dyDescent="0.35">
      <c r="A692" s="15">
        <v>45807</v>
      </c>
      <c r="B692" s="11" t="s">
        <v>687</v>
      </c>
      <c r="C692" s="19">
        <v>45806</v>
      </c>
      <c r="D692" s="13" t="s">
        <v>690</v>
      </c>
      <c r="E692" s="12">
        <v>3500</v>
      </c>
      <c r="F692" s="21" t="s">
        <v>54</v>
      </c>
      <c r="G692" s="21" t="s">
        <v>67</v>
      </c>
      <c r="H692" s="21" t="s">
        <v>79</v>
      </c>
      <c r="I692" s="21" t="s">
        <v>90</v>
      </c>
      <c r="J692" s="68">
        <f>+MONTH(ExpenseTable[[#This Row],[Voucher Date]])</f>
        <v>5</v>
      </c>
      <c r="K692" s="68" t="s">
        <v>238</v>
      </c>
    </row>
    <row r="693" spans="1:11" x14ac:dyDescent="0.35">
      <c r="A693" s="15">
        <v>45808</v>
      </c>
      <c r="B693" s="11" t="s">
        <v>687</v>
      </c>
      <c r="C693" s="19">
        <v>45806</v>
      </c>
      <c r="D693" s="13" t="s">
        <v>688</v>
      </c>
      <c r="E693" s="12">
        <v>8783.67</v>
      </c>
      <c r="F693" s="21" t="s">
        <v>28</v>
      </c>
      <c r="G693" s="21" t="s">
        <v>72</v>
      </c>
      <c r="H693" s="21" t="s">
        <v>73</v>
      </c>
      <c r="I693" s="21" t="s">
        <v>90</v>
      </c>
      <c r="J693" s="68">
        <f>+MONTH(ExpenseTable[[#This Row],[Voucher Date]])</f>
        <v>5</v>
      </c>
      <c r="K693" s="68" t="s">
        <v>238</v>
      </c>
    </row>
    <row r="694" spans="1:11" x14ac:dyDescent="0.35">
      <c r="A694" s="15">
        <v>45801</v>
      </c>
      <c r="B694" s="11" t="s">
        <v>687</v>
      </c>
      <c r="C694" s="19">
        <v>45806</v>
      </c>
      <c r="D694" s="13" t="s">
        <v>692</v>
      </c>
      <c r="E694" s="12">
        <v>16000</v>
      </c>
      <c r="F694" s="21" t="s">
        <v>22</v>
      </c>
      <c r="G694" s="21" t="s">
        <v>72</v>
      </c>
      <c r="H694" s="21" t="s">
        <v>73</v>
      </c>
      <c r="I694" s="21" t="s">
        <v>90</v>
      </c>
      <c r="J694" s="68">
        <f>+MONTH(ExpenseTable[[#This Row],[Voucher Date]])</f>
        <v>5</v>
      </c>
      <c r="K694" s="68" t="s">
        <v>238</v>
      </c>
    </row>
    <row r="695" spans="1:11" x14ac:dyDescent="0.35">
      <c r="A695" s="15">
        <v>45806</v>
      </c>
      <c r="B695" s="11" t="s">
        <v>687</v>
      </c>
      <c r="C695" s="19">
        <v>45806</v>
      </c>
      <c r="D695" s="13" t="s">
        <v>689</v>
      </c>
      <c r="E695" s="12">
        <v>20000</v>
      </c>
      <c r="F695" s="21" t="s">
        <v>54</v>
      </c>
      <c r="G695" s="21" t="s">
        <v>67</v>
      </c>
      <c r="H695" s="21" t="s">
        <v>79</v>
      </c>
      <c r="I695" s="21" t="s">
        <v>1123</v>
      </c>
      <c r="J695" s="68">
        <f>+MONTH(ExpenseTable[[#This Row],[Voucher Date]])</f>
        <v>5</v>
      </c>
      <c r="K695" s="68" t="s">
        <v>238</v>
      </c>
    </row>
    <row r="696" spans="1:11" x14ac:dyDescent="0.35">
      <c r="A696" s="15">
        <v>45806</v>
      </c>
      <c r="B696" s="11" t="s">
        <v>687</v>
      </c>
      <c r="C696" s="19">
        <v>45806</v>
      </c>
      <c r="D696" s="13" t="s">
        <v>694</v>
      </c>
      <c r="E696" s="12">
        <v>30000</v>
      </c>
      <c r="F696" s="21" t="s">
        <v>23</v>
      </c>
      <c r="G696" s="21" t="s">
        <v>72</v>
      </c>
      <c r="H696" s="21" t="s">
        <v>73</v>
      </c>
      <c r="I696" s="21" t="s">
        <v>90</v>
      </c>
      <c r="J696" s="68">
        <f>+MONTH(ExpenseTable[[#This Row],[Voucher Date]])</f>
        <v>5</v>
      </c>
      <c r="K696" s="68" t="s">
        <v>238</v>
      </c>
    </row>
    <row r="697" spans="1:11" x14ac:dyDescent="0.35">
      <c r="A697" s="15">
        <v>45806</v>
      </c>
      <c r="B697" s="11" t="s">
        <v>687</v>
      </c>
      <c r="C697" s="19">
        <v>45806</v>
      </c>
      <c r="D697" s="13" t="s">
        <v>302</v>
      </c>
      <c r="E697" s="12">
        <v>56000</v>
      </c>
      <c r="F697" s="21" t="s">
        <v>54</v>
      </c>
      <c r="G697" s="21" t="s">
        <v>67</v>
      </c>
      <c r="H697" s="21" t="s">
        <v>79</v>
      </c>
      <c r="I697" s="21" t="s">
        <v>90</v>
      </c>
      <c r="J697" s="68">
        <f>+MONTH(ExpenseTable[[#This Row],[Voucher Date]])</f>
        <v>5</v>
      </c>
      <c r="K697" s="68" t="s">
        <v>238</v>
      </c>
    </row>
    <row r="698" spans="1:11" x14ac:dyDescent="0.35">
      <c r="A698" s="15">
        <v>45807</v>
      </c>
      <c r="B698" s="11" t="s">
        <v>687</v>
      </c>
      <c r="C698" s="19">
        <v>45806</v>
      </c>
      <c r="D698" s="13" t="s">
        <v>693</v>
      </c>
      <c r="E698" s="12">
        <v>59000</v>
      </c>
      <c r="F698" s="21" t="s">
        <v>22</v>
      </c>
      <c r="G698" s="21" t="s">
        <v>72</v>
      </c>
      <c r="H698" s="21" t="s">
        <v>73</v>
      </c>
      <c r="I698" s="21" t="s">
        <v>90</v>
      </c>
      <c r="J698" s="68">
        <f>+MONTH(ExpenseTable[[#This Row],[Voucher Date]])</f>
        <v>5</v>
      </c>
      <c r="K698" s="68" t="s">
        <v>238</v>
      </c>
    </row>
    <row r="699" spans="1:11" x14ac:dyDescent="0.35">
      <c r="A699" s="15">
        <v>45807</v>
      </c>
      <c r="B699" s="11" t="s">
        <v>687</v>
      </c>
      <c r="C699" s="19">
        <v>45806</v>
      </c>
      <c r="D699" s="13" t="s">
        <v>691</v>
      </c>
      <c r="E699" s="12">
        <v>350000</v>
      </c>
      <c r="F699" s="21" t="s">
        <v>54</v>
      </c>
      <c r="G699" s="21" t="s">
        <v>80</v>
      </c>
      <c r="H699" s="21" t="s">
        <v>81</v>
      </c>
      <c r="I699" s="21" t="s">
        <v>90</v>
      </c>
      <c r="J699" s="68">
        <f>+MONTH(ExpenseTable[[#This Row],[Voucher Date]])</f>
        <v>5</v>
      </c>
      <c r="K699" s="68" t="s">
        <v>238</v>
      </c>
    </row>
    <row r="700" spans="1:11" x14ac:dyDescent="0.35">
      <c r="A700" s="15">
        <v>45779</v>
      </c>
      <c r="B700" s="11" t="s">
        <v>695</v>
      </c>
      <c r="C700" s="19">
        <v>45807</v>
      </c>
      <c r="D700" s="13" t="s">
        <v>696</v>
      </c>
      <c r="E700" s="12">
        <v>8653.85</v>
      </c>
      <c r="F700" s="21" t="s">
        <v>54</v>
      </c>
      <c r="G700" s="21" t="s">
        <v>80</v>
      </c>
      <c r="H700" s="21" t="s">
        <v>81</v>
      </c>
      <c r="I700" s="21" t="s">
        <v>91</v>
      </c>
      <c r="J700" s="68">
        <f>+MONTH(ExpenseTable[[#This Row],[Voucher Date]])</f>
        <v>5</v>
      </c>
      <c r="K700" s="68" t="s">
        <v>238</v>
      </c>
    </row>
    <row r="701" spans="1:11" x14ac:dyDescent="0.35">
      <c r="A701" s="15">
        <v>45807</v>
      </c>
      <c r="B701" s="11" t="s">
        <v>695</v>
      </c>
      <c r="C701" s="19">
        <v>45807</v>
      </c>
      <c r="D701" s="13" t="s">
        <v>700</v>
      </c>
      <c r="E701" s="12">
        <v>24038.46</v>
      </c>
      <c r="F701" s="21" t="s">
        <v>54</v>
      </c>
      <c r="G701" s="21" t="s">
        <v>80</v>
      </c>
      <c r="H701" s="21" t="s">
        <v>81</v>
      </c>
      <c r="I701" s="21" t="s">
        <v>91</v>
      </c>
      <c r="J701" s="68">
        <f>+MONTH(ExpenseTable[[#This Row],[Voucher Date]])</f>
        <v>5</v>
      </c>
      <c r="K701" s="68" t="s">
        <v>238</v>
      </c>
    </row>
    <row r="702" spans="1:11" x14ac:dyDescent="0.35">
      <c r="A702" s="15">
        <v>45807</v>
      </c>
      <c r="B702" s="11" t="s">
        <v>695</v>
      </c>
      <c r="C702" s="19">
        <v>45807</v>
      </c>
      <c r="D702" s="13" t="s">
        <v>701</v>
      </c>
      <c r="E702" s="12">
        <v>30000</v>
      </c>
      <c r="F702" s="21" t="s">
        <v>4</v>
      </c>
      <c r="G702" s="21" t="s">
        <v>72</v>
      </c>
      <c r="H702" s="21" t="s">
        <v>73</v>
      </c>
      <c r="I702" s="21" t="s">
        <v>91</v>
      </c>
      <c r="J702" s="68">
        <f>+MONTH(ExpenseTable[[#This Row],[Voucher Date]])</f>
        <v>5</v>
      </c>
      <c r="K702" s="68" t="s">
        <v>238</v>
      </c>
    </row>
    <row r="703" spans="1:11" x14ac:dyDescent="0.35">
      <c r="A703" s="15">
        <v>45807</v>
      </c>
      <c r="B703" s="11" t="s">
        <v>695</v>
      </c>
      <c r="C703" s="19">
        <v>45807</v>
      </c>
      <c r="D703" s="13" t="s">
        <v>698</v>
      </c>
      <c r="E703" s="12">
        <v>40000</v>
      </c>
      <c r="F703" s="21" t="s">
        <v>54</v>
      </c>
      <c r="G703" s="21" t="s">
        <v>67</v>
      </c>
      <c r="H703" s="21" t="s">
        <v>79</v>
      </c>
      <c r="I703" s="21" t="s">
        <v>91</v>
      </c>
      <c r="J703" s="68">
        <f>+MONTH(ExpenseTable[[#This Row],[Voucher Date]])</f>
        <v>5</v>
      </c>
      <c r="K703" s="68" t="s">
        <v>238</v>
      </c>
    </row>
    <row r="704" spans="1:11" x14ac:dyDescent="0.35">
      <c r="A704" s="15">
        <v>45807</v>
      </c>
      <c r="B704" s="11" t="s">
        <v>695</v>
      </c>
      <c r="C704" s="19">
        <v>45807</v>
      </c>
      <c r="D704" s="13" t="s">
        <v>703</v>
      </c>
      <c r="E704" s="12">
        <v>50000</v>
      </c>
      <c r="F704" s="21" t="s">
        <v>42</v>
      </c>
      <c r="G704" s="21" t="s">
        <v>72</v>
      </c>
      <c r="H704" s="21" t="s">
        <v>73</v>
      </c>
      <c r="I704" s="21" t="s">
        <v>91</v>
      </c>
      <c r="J704" s="68">
        <f>+MONTH(ExpenseTable[[#This Row],[Voucher Date]])</f>
        <v>5</v>
      </c>
      <c r="K704" s="68" t="s">
        <v>238</v>
      </c>
    </row>
    <row r="705" spans="1:11" x14ac:dyDescent="0.35">
      <c r="A705" s="15">
        <v>45807</v>
      </c>
      <c r="B705" s="11" t="s">
        <v>695</v>
      </c>
      <c r="C705" s="19">
        <v>45807</v>
      </c>
      <c r="D705" s="13" t="s">
        <v>699</v>
      </c>
      <c r="E705" s="12">
        <v>291530</v>
      </c>
      <c r="F705" s="21" t="s">
        <v>54</v>
      </c>
      <c r="G705" s="21" t="s">
        <v>72</v>
      </c>
      <c r="H705" s="21" t="s">
        <v>73</v>
      </c>
      <c r="I705" s="21" t="s">
        <v>91</v>
      </c>
      <c r="J705" s="68">
        <f>+MONTH(ExpenseTable[[#This Row],[Voucher Date]])</f>
        <v>5</v>
      </c>
      <c r="K705" s="68" t="s">
        <v>238</v>
      </c>
    </row>
    <row r="706" spans="1:11" x14ac:dyDescent="0.35">
      <c r="A706" s="15">
        <v>45807</v>
      </c>
      <c r="B706" s="11" t="s">
        <v>695</v>
      </c>
      <c r="C706" s="19">
        <v>45807</v>
      </c>
      <c r="D706" s="13" t="s">
        <v>702</v>
      </c>
      <c r="E706" s="12">
        <v>300000</v>
      </c>
      <c r="F706" s="21" t="s">
        <v>38</v>
      </c>
      <c r="G706" s="21" t="s">
        <v>72</v>
      </c>
      <c r="H706" s="21" t="s">
        <v>73</v>
      </c>
      <c r="I706" s="21" t="s">
        <v>91</v>
      </c>
      <c r="J706" s="68">
        <f>+MONTH(ExpenseTable[[#This Row],[Voucher Date]])</f>
        <v>5</v>
      </c>
      <c r="K706" s="68" t="s">
        <v>238</v>
      </c>
    </row>
    <row r="707" spans="1:11" x14ac:dyDescent="0.35">
      <c r="A707" s="15">
        <v>45807</v>
      </c>
      <c r="B707" s="11" t="s">
        <v>695</v>
      </c>
      <c r="C707" s="19">
        <v>45807</v>
      </c>
      <c r="D707" s="13" t="s">
        <v>697</v>
      </c>
      <c r="E707" s="12">
        <v>489903.87</v>
      </c>
      <c r="F707" s="21" t="s">
        <v>54</v>
      </c>
      <c r="G707" s="21" t="s">
        <v>67</v>
      </c>
      <c r="H707" s="21" t="s">
        <v>79</v>
      </c>
      <c r="I707" s="21" t="s">
        <v>91</v>
      </c>
      <c r="J707" s="68">
        <f>+MONTH(ExpenseTable[[#This Row],[Voucher Date]])</f>
        <v>5</v>
      </c>
      <c r="K707" s="68" t="s">
        <v>238</v>
      </c>
    </row>
    <row r="708" spans="1:11" x14ac:dyDescent="0.35">
      <c r="A708" s="15">
        <v>45837</v>
      </c>
      <c r="B708" s="11" t="s">
        <v>704</v>
      </c>
      <c r="C708" s="19">
        <v>45809</v>
      </c>
      <c r="D708" s="13" t="s">
        <v>705</v>
      </c>
      <c r="E708" s="12">
        <v>23000</v>
      </c>
      <c r="F708" s="21" t="s">
        <v>40</v>
      </c>
      <c r="G708" s="21" t="s">
        <v>72</v>
      </c>
      <c r="H708" s="21" t="s">
        <v>73</v>
      </c>
      <c r="I708" s="21" t="s">
        <v>1123</v>
      </c>
      <c r="J708" s="68">
        <f>+MONTH(ExpenseTable[[#This Row],[Voucher Date]])</f>
        <v>6</v>
      </c>
      <c r="K708" s="68" t="s">
        <v>238</v>
      </c>
    </row>
    <row r="709" spans="1:11" x14ac:dyDescent="0.35">
      <c r="A709" s="15">
        <v>45809</v>
      </c>
      <c r="B709" s="11" t="s">
        <v>704</v>
      </c>
      <c r="C709" s="19">
        <v>45809</v>
      </c>
      <c r="D709" s="13" t="s">
        <v>705</v>
      </c>
      <c r="E709" s="12">
        <v>40000</v>
      </c>
      <c r="F709" s="21" t="s">
        <v>40</v>
      </c>
      <c r="G709" s="21" t="s">
        <v>72</v>
      </c>
      <c r="H709" s="21" t="s">
        <v>73</v>
      </c>
      <c r="I709" s="21" t="s">
        <v>1123</v>
      </c>
      <c r="J709" s="68">
        <f>+MONTH(ExpenseTable[[#This Row],[Voucher Date]])</f>
        <v>6</v>
      </c>
      <c r="K709" s="68" t="s">
        <v>238</v>
      </c>
    </row>
    <row r="710" spans="1:11" x14ac:dyDescent="0.35">
      <c r="A710" s="15">
        <v>45813</v>
      </c>
      <c r="B710" s="11" t="s">
        <v>704</v>
      </c>
      <c r="C710" s="19">
        <v>45809</v>
      </c>
      <c r="D710" s="13" t="s">
        <v>707</v>
      </c>
      <c r="E710" s="12">
        <v>50000</v>
      </c>
      <c r="F710" s="21" t="s">
        <v>23</v>
      </c>
      <c r="G710" s="21" t="s">
        <v>72</v>
      </c>
      <c r="H710" s="21" t="s">
        <v>73</v>
      </c>
      <c r="I710" s="21" t="s">
        <v>1123</v>
      </c>
      <c r="J710" s="68">
        <f>+MONTH(ExpenseTable[[#This Row],[Voucher Date]])</f>
        <v>6</v>
      </c>
      <c r="K710" s="68" t="s">
        <v>238</v>
      </c>
    </row>
    <row r="711" spans="1:11" x14ac:dyDescent="0.35">
      <c r="A711" s="15">
        <v>45806</v>
      </c>
      <c r="B711" s="11" t="s">
        <v>704</v>
      </c>
      <c r="C711" s="19">
        <v>45809</v>
      </c>
      <c r="D711" s="13" t="s">
        <v>706</v>
      </c>
      <c r="E711" s="12">
        <v>50100</v>
      </c>
      <c r="F711" s="21" t="s">
        <v>35</v>
      </c>
      <c r="G711" s="21" t="s">
        <v>72</v>
      </c>
      <c r="H711" s="21" t="s">
        <v>73</v>
      </c>
      <c r="I711" s="21" t="s">
        <v>1123</v>
      </c>
      <c r="J711" s="68">
        <f>+MONTH(ExpenseTable[[#This Row],[Voucher Date]])</f>
        <v>6</v>
      </c>
      <c r="K711" s="68" t="s">
        <v>238</v>
      </c>
    </row>
    <row r="712" spans="1:11" x14ac:dyDescent="0.35">
      <c r="A712" s="15">
        <v>45813</v>
      </c>
      <c r="B712" s="11" t="s">
        <v>708</v>
      </c>
      <c r="C712" s="19">
        <v>45810</v>
      </c>
      <c r="D712" s="13" t="s">
        <v>711</v>
      </c>
      <c r="E712" s="12">
        <v>200</v>
      </c>
      <c r="F712" s="21" t="s">
        <v>21</v>
      </c>
      <c r="G712" s="21" t="s">
        <v>72</v>
      </c>
      <c r="H712" s="21" t="s">
        <v>73</v>
      </c>
      <c r="I712" s="21" t="s">
        <v>90</v>
      </c>
      <c r="J712" s="68">
        <f>+MONTH(ExpenseTable[[#This Row],[Voucher Date]])</f>
        <v>6</v>
      </c>
      <c r="K712" s="68" t="s">
        <v>238</v>
      </c>
    </row>
    <row r="713" spans="1:11" x14ac:dyDescent="0.35">
      <c r="A713" s="15">
        <v>45810</v>
      </c>
      <c r="B713" s="11" t="s">
        <v>708</v>
      </c>
      <c r="C713" s="19">
        <v>45810</v>
      </c>
      <c r="D713" s="13" t="s">
        <v>270</v>
      </c>
      <c r="E713" s="12">
        <v>400</v>
      </c>
      <c r="F713" s="21" t="s">
        <v>21</v>
      </c>
      <c r="G713" s="21" t="s">
        <v>72</v>
      </c>
      <c r="H713" s="21" t="s">
        <v>73</v>
      </c>
      <c r="I713" s="21" t="s">
        <v>90</v>
      </c>
      <c r="J713" s="68">
        <f>+MONTH(ExpenseTable[[#This Row],[Voucher Date]])</f>
        <v>6</v>
      </c>
      <c r="K713" s="68" t="s">
        <v>238</v>
      </c>
    </row>
    <row r="714" spans="1:11" x14ac:dyDescent="0.35">
      <c r="A714" s="15">
        <v>45813</v>
      </c>
      <c r="B714" s="11" t="s">
        <v>708</v>
      </c>
      <c r="C714" s="19">
        <v>45810</v>
      </c>
      <c r="D714" s="13" t="s">
        <v>639</v>
      </c>
      <c r="E714" s="12">
        <v>1000</v>
      </c>
      <c r="F714" s="21" t="s">
        <v>27</v>
      </c>
      <c r="G714" s="21" t="s">
        <v>72</v>
      </c>
      <c r="H714" s="21" t="s">
        <v>73</v>
      </c>
      <c r="I714" s="21" t="s">
        <v>90</v>
      </c>
      <c r="J714" s="68">
        <f>+MONTH(ExpenseTable[[#This Row],[Voucher Date]])</f>
        <v>6</v>
      </c>
      <c r="K714" s="68" t="s">
        <v>238</v>
      </c>
    </row>
    <row r="715" spans="1:11" x14ac:dyDescent="0.35">
      <c r="A715" s="15">
        <v>45811</v>
      </c>
      <c r="B715" s="11" t="s">
        <v>708</v>
      </c>
      <c r="C715" s="19">
        <v>45810</v>
      </c>
      <c r="D715" s="13" t="s">
        <v>585</v>
      </c>
      <c r="E715" s="12">
        <v>5000</v>
      </c>
      <c r="F715" s="21" t="s">
        <v>23</v>
      </c>
      <c r="G715" s="21" t="s">
        <v>72</v>
      </c>
      <c r="H715" s="21" t="s">
        <v>73</v>
      </c>
      <c r="I715" s="21" t="s">
        <v>90</v>
      </c>
      <c r="J715" s="68">
        <f>+MONTH(ExpenseTable[[#This Row],[Voucher Date]])</f>
        <v>6</v>
      </c>
      <c r="K715" s="68" t="s">
        <v>238</v>
      </c>
    </row>
    <row r="716" spans="1:11" x14ac:dyDescent="0.35">
      <c r="A716" s="15">
        <v>45812</v>
      </c>
      <c r="B716" s="11" t="s">
        <v>708</v>
      </c>
      <c r="C716" s="19">
        <v>45810</v>
      </c>
      <c r="D716" s="13" t="s">
        <v>278</v>
      </c>
      <c r="E716" s="12">
        <v>18500</v>
      </c>
      <c r="F716" s="21" t="s">
        <v>31</v>
      </c>
      <c r="G716" s="21" t="s">
        <v>72</v>
      </c>
      <c r="H716" s="21" t="s">
        <v>73</v>
      </c>
      <c r="I716" s="21" t="s">
        <v>90</v>
      </c>
      <c r="J716" s="68">
        <f>+MONTH(ExpenseTable[[#This Row],[Voucher Date]])</f>
        <v>6</v>
      </c>
      <c r="K716" s="68" t="s">
        <v>238</v>
      </c>
    </row>
    <row r="717" spans="1:11" x14ac:dyDescent="0.35">
      <c r="A717" s="15">
        <v>45810</v>
      </c>
      <c r="B717" s="11" t="s">
        <v>708</v>
      </c>
      <c r="C717" s="19">
        <v>45810</v>
      </c>
      <c r="D717" s="13" t="s">
        <v>682</v>
      </c>
      <c r="E717" s="12">
        <v>30000</v>
      </c>
      <c r="F717" s="21" t="s">
        <v>30</v>
      </c>
      <c r="G717" s="21" t="s">
        <v>72</v>
      </c>
      <c r="H717" s="21" t="s">
        <v>73</v>
      </c>
      <c r="I717" s="21" t="s">
        <v>90</v>
      </c>
      <c r="J717" s="68">
        <f>+MONTH(ExpenseTable[[#This Row],[Voucher Date]])</f>
        <v>6</v>
      </c>
      <c r="K717" s="68" t="s">
        <v>238</v>
      </c>
    </row>
    <row r="718" spans="1:11" x14ac:dyDescent="0.35">
      <c r="A718" s="15">
        <v>45811</v>
      </c>
      <c r="B718" s="11" t="s">
        <v>708</v>
      </c>
      <c r="C718" s="19">
        <v>45810</v>
      </c>
      <c r="D718" s="13" t="s">
        <v>288</v>
      </c>
      <c r="E718" s="12">
        <v>40000</v>
      </c>
      <c r="F718" s="21" t="s">
        <v>40</v>
      </c>
      <c r="G718" s="21" t="s">
        <v>80</v>
      </c>
      <c r="H718" s="21" t="s">
        <v>81</v>
      </c>
      <c r="I718" s="21" t="s">
        <v>90</v>
      </c>
      <c r="J718" s="68">
        <f>+MONTH(ExpenseTable[[#This Row],[Voucher Date]])</f>
        <v>6</v>
      </c>
      <c r="K718" s="68" t="s">
        <v>238</v>
      </c>
    </row>
    <row r="719" spans="1:11" x14ac:dyDescent="0.35">
      <c r="A719" s="15">
        <v>45812</v>
      </c>
      <c r="B719" s="11" t="s">
        <v>708</v>
      </c>
      <c r="C719" s="19">
        <v>45810</v>
      </c>
      <c r="D719" s="13" t="s">
        <v>710</v>
      </c>
      <c r="E719" s="12">
        <v>40000</v>
      </c>
      <c r="F719" s="21" t="s">
        <v>54</v>
      </c>
      <c r="G719" s="21" t="s">
        <v>67</v>
      </c>
      <c r="H719" s="21" t="s">
        <v>79</v>
      </c>
      <c r="I719" s="21" t="s">
        <v>90</v>
      </c>
      <c r="J719" s="68">
        <f>+MONTH(ExpenseTable[[#This Row],[Voucher Date]])</f>
        <v>6</v>
      </c>
      <c r="K719" s="68" t="s">
        <v>238</v>
      </c>
    </row>
    <row r="720" spans="1:11" x14ac:dyDescent="0.35">
      <c r="A720" s="15">
        <v>45812</v>
      </c>
      <c r="B720" s="11" t="s">
        <v>714</v>
      </c>
      <c r="C720" s="19">
        <v>45810</v>
      </c>
      <c r="D720" s="13" t="s">
        <v>709</v>
      </c>
      <c r="E720" s="12">
        <v>1000</v>
      </c>
      <c r="F720" s="21" t="s">
        <v>54</v>
      </c>
      <c r="G720" s="21" t="s">
        <v>80</v>
      </c>
      <c r="H720" s="21" t="s">
        <v>81</v>
      </c>
      <c r="I720" s="21" t="s">
        <v>1123</v>
      </c>
      <c r="J720" s="68">
        <f>+MONTH(ExpenseTable[[#This Row],[Voucher Date]])</f>
        <v>6</v>
      </c>
      <c r="K720" s="68" t="s">
        <v>238</v>
      </c>
    </row>
    <row r="721" spans="1:11" x14ac:dyDescent="0.35">
      <c r="A721" s="15">
        <v>45811</v>
      </c>
      <c r="B721" s="11" t="s">
        <v>714</v>
      </c>
      <c r="C721" s="19">
        <v>45810</v>
      </c>
      <c r="D721" s="13" t="s">
        <v>157</v>
      </c>
      <c r="E721" s="12">
        <v>2400</v>
      </c>
      <c r="F721" s="21" t="s">
        <v>54</v>
      </c>
      <c r="G721" s="21" t="s">
        <v>67</v>
      </c>
      <c r="H721" s="21" t="s">
        <v>79</v>
      </c>
      <c r="I721" s="21" t="s">
        <v>1123</v>
      </c>
      <c r="J721" s="68">
        <f>+MONTH(ExpenseTable[[#This Row],[Voucher Date]])</f>
        <v>6</v>
      </c>
      <c r="K721" s="68" t="s">
        <v>238</v>
      </c>
    </row>
    <row r="722" spans="1:11" x14ac:dyDescent="0.35">
      <c r="A722" s="15">
        <v>45810</v>
      </c>
      <c r="B722" s="11" t="s">
        <v>714</v>
      </c>
      <c r="C722" s="19">
        <v>45810</v>
      </c>
      <c r="D722" s="13" t="s">
        <v>712</v>
      </c>
      <c r="E722" s="12">
        <v>4000</v>
      </c>
      <c r="F722" s="21" t="s">
        <v>22</v>
      </c>
      <c r="G722" s="21" t="s">
        <v>72</v>
      </c>
      <c r="H722" s="21" t="s">
        <v>73</v>
      </c>
      <c r="I722" s="21" t="s">
        <v>1123</v>
      </c>
      <c r="J722" s="68">
        <f>+MONTH(ExpenseTable[[#This Row],[Voucher Date]])</f>
        <v>6</v>
      </c>
      <c r="K722" s="68" t="s">
        <v>238</v>
      </c>
    </row>
    <row r="723" spans="1:11" x14ac:dyDescent="0.35">
      <c r="A723" s="15">
        <v>45811</v>
      </c>
      <c r="B723" s="11" t="s">
        <v>714</v>
      </c>
      <c r="C723" s="19">
        <v>45810</v>
      </c>
      <c r="D723" s="13" t="s">
        <v>715</v>
      </c>
      <c r="E723" s="12">
        <v>5000</v>
      </c>
      <c r="F723" s="21" t="s">
        <v>19</v>
      </c>
      <c r="G723" s="21" t="s">
        <v>72</v>
      </c>
      <c r="H723" s="21" t="s">
        <v>73</v>
      </c>
      <c r="I723" s="21" t="s">
        <v>1123</v>
      </c>
      <c r="J723" s="68">
        <f>+MONTH(ExpenseTable[[#This Row],[Voucher Date]])</f>
        <v>6</v>
      </c>
      <c r="K723" s="68" t="s">
        <v>238</v>
      </c>
    </row>
    <row r="724" spans="1:11" x14ac:dyDescent="0.35">
      <c r="A724" s="15">
        <v>45810</v>
      </c>
      <c r="B724" s="11" t="s">
        <v>714</v>
      </c>
      <c r="C724" s="19">
        <v>45810</v>
      </c>
      <c r="D724" s="13" t="s">
        <v>393</v>
      </c>
      <c r="E724" s="12">
        <v>7000</v>
      </c>
      <c r="F724" s="21" t="s">
        <v>37</v>
      </c>
      <c r="G724" s="21" t="s">
        <v>72</v>
      </c>
      <c r="H724" s="21" t="s">
        <v>73</v>
      </c>
      <c r="I724" s="21" t="s">
        <v>1123</v>
      </c>
      <c r="J724" s="68">
        <f>+MONTH(ExpenseTable[[#This Row],[Voucher Date]])</f>
        <v>6</v>
      </c>
      <c r="K724" s="68" t="s">
        <v>238</v>
      </c>
    </row>
    <row r="725" spans="1:11" x14ac:dyDescent="0.35">
      <c r="A725" s="15">
        <v>45810</v>
      </c>
      <c r="B725" s="11" t="s">
        <v>714</v>
      </c>
      <c r="C725" s="19">
        <v>45810</v>
      </c>
      <c r="D725" s="13" t="s">
        <v>713</v>
      </c>
      <c r="E725" s="12">
        <v>8000</v>
      </c>
      <c r="F725" s="21" t="s">
        <v>22</v>
      </c>
      <c r="G725" s="21" t="s">
        <v>72</v>
      </c>
      <c r="H725" s="21" t="s">
        <v>73</v>
      </c>
      <c r="I725" s="21" t="s">
        <v>1123</v>
      </c>
      <c r="J725" s="68">
        <f>+MONTH(ExpenseTable[[#This Row],[Voucher Date]])</f>
        <v>6</v>
      </c>
      <c r="K725" s="68" t="s">
        <v>238</v>
      </c>
    </row>
    <row r="726" spans="1:11" x14ac:dyDescent="0.35">
      <c r="A726" s="15">
        <v>45809</v>
      </c>
      <c r="B726" s="11" t="s">
        <v>714</v>
      </c>
      <c r="C726" s="19">
        <v>45810</v>
      </c>
      <c r="D726" s="13" t="s">
        <v>189</v>
      </c>
      <c r="E726" s="12">
        <v>40000</v>
      </c>
      <c r="F726" s="21" t="s">
        <v>40</v>
      </c>
      <c r="G726" s="21" t="s">
        <v>72</v>
      </c>
      <c r="H726" s="21" t="s">
        <v>73</v>
      </c>
      <c r="I726" s="21" t="s">
        <v>1123</v>
      </c>
      <c r="J726" s="68">
        <f>+MONTH(ExpenseTable[[#This Row],[Voucher Date]])</f>
        <v>6</v>
      </c>
      <c r="K726" s="68" t="s">
        <v>238</v>
      </c>
    </row>
    <row r="727" spans="1:11" x14ac:dyDescent="0.35">
      <c r="A727" s="15">
        <v>45812</v>
      </c>
      <c r="B727" s="11" t="s">
        <v>714</v>
      </c>
      <c r="C727" s="19">
        <v>45810</v>
      </c>
      <c r="D727" s="13" t="s">
        <v>189</v>
      </c>
      <c r="E727" s="12">
        <v>41000</v>
      </c>
      <c r="F727" s="21" t="s">
        <v>40</v>
      </c>
      <c r="G727" s="21" t="s">
        <v>72</v>
      </c>
      <c r="H727" s="21" t="s">
        <v>73</v>
      </c>
      <c r="I727" s="21" t="s">
        <v>1123</v>
      </c>
      <c r="J727" s="68">
        <f>+MONTH(ExpenseTable[[#This Row],[Voucher Date]])</f>
        <v>6</v>
      </c>
      <c r="K727" s="68" t="s">
        <v>238</v>
      </c>
    </row>
    <row r="728" spans="1:11" x14ac:dyDescent="0.35">
      <c r="A728" s="15">
        <v>45814</v>
      </c>
      <c r="B728" s="11" t="s">
        <v>716</v>
      </c>
      <c r="C728" s="19">
        <v>45811</v>
      </c>
      <c r="D728" s="13" t="s">
        <v>722</v>
      </c>
      <c r="E728" s="12">
        <v>1000</v>
      </c>
      <c r="F728" s="21" t="s">
        <v>23</v>
      </c>
      <c r="G728" s="21" t="s">
        <v>72</v>
      </c>
      <c r="H728" s="21" t="s">
        <v>73</v>
      </c>
      <c r="I728" s="21" t="s">
        <v>90</v>
      </c>
      <c r="J728" s="68">
        <f>+MONTH(ExpenseTable[[#This Row],[Voucher Date]])</f>
        <v>6</v>
      </c>
      <c r="K728" s="68" t="s">
        <v>238</v>
      </c>
    </row>
    <row r="729" spans="1:11" x14ac:dyDescent="0.35">
      <c r="A729" s="15">
        <v>45814</v>
      </c>
      <c r="B729" s="11" t="s">
        <v>716</v>
      </c>
      <c r="C729" s="19">
        <v>45811</v>
      </c>
      <c r="D729" s="13" t="s">
        <v>157</v>
      </c>
      <c r="E729" s="12">
        <v>2500</v>
      </c>
      <c r="F729" s="21" t="s">
        <v>54</v>
      </c>
      <c r="G729" s="21" t="s">
        <v>67</v>
      </c>
      <c r="H729" s="21" t="s">
        <v>79</v>
      </c>
      <c r="I729" s="21" t="s">
        <v>90</v>
      </c>
      <c r="J729" s="68">
        <f>+MONTH(ExpenseTable[[#This Row],[Voucher Date]])</f>
        <v>6</v>
      </c>
      <c r="K729" s="68" t="s">
        <v>238</v>
      </c>
    </row>
    <row r="730" spans="1:11" x14ac:dyDescent="0.35">
      <c r="A730" s="15">
        <v>45814</v>
      </c>
      <c r="B730" s="11" t="s">
        <v>716</v>
      </c>
      <c r="C730" s="19">
        <v>45811</v>
      </c>
      <c r="D730" s="13" t="s">
        <v>719</v>
      </c>
      <c r="E730" s="12">
        <v>4000</v>
      </c>
      <c r="F730" s="21" t="s">
        <v>21</v>
      </c>
      <c r="G730" s="21" t="s">
        <v>72</v>
      </c>
      <c r="H730" s="21" t="s">
        <v>73</v>
      </c>
      <c r="I730" s="21" t="s">
        <v>90</v>
      </c>
      <c r="J730" s="68">
        <f>+MONTH(ExpenseTable[[#This Row],[Voucher Date]])</f>
        <v>6</v>
      </c>
      <c r="K730" s="68" t="s">
        <v>238</v>
      </c>
    </row>
    <row r="731" spans="1:11" x14ac:dyDescent="0.35">
      <c r="A731" s="15">
        <v>45814</v>
      </c>
      <c r="B731" s="11" t="s">
        <v>716</v>
      </c>
      <c r="C731" s="19">
        <v>45811</v>
      </c>
      <c r="D731" s="13" t="s">
        <v>720</v>
      </c>
      <c r="E731" s="12">
        <v>4000</v>
      </c>
      <c r="F731" s="21" t="s">
        <v>21</v>
      </c>
      <c r="G731" s="21" t="s">
        <v>72</v>
      </c>
      <c r="H731" s="21" t="s">
        <v>73</v>
      </c>
      <c r="I731" s="21" t="s">
        <v>90</v>
      </c>
      <c r="J731" s="68">
        <f>+MONTH(ExpenseTable[[#This Row],[Voucher Date]])</f>
        <v>6</v>
      </c>
      <c r="K731" s="68" t="s">
        <v>238</v>
      </c>
    </row>
    <row r="732" spans="1:11" x14ac:dyDescent="0.35">
      <c r="A732" s="15">
        <v>45814</v>
      </c>
      <c r="B732" s="11" t="s">
        <v>716</v>
      </c>
      <c r="C732" s="19">
        <v>45811</v>
      </c>
      <c r="D732" s="13" t="s">
        <v>717</v>
      </c>
      <c r="E732" s="12">
        <v>4000</v>
      </c>
      <c r="F732" s="21" t="s">
        <v>54</v>
      </c>
      <c r="G732" s="21" t="s">
        <v>80</v>
      </c>
      <c r="H732" s="21" t="s">
        <v>81</v>
      </c>
      <c r="I732" s="21" t="s">
        <v>90</v>
      </c>
      <c r="J732" s="68">
        <f>+MONTH(ExpenseTable[[#This Row],[Voucher Date]])</f>
        <v>6</v>
      </c>
      <c r="K732" s="68" t="s">
        <v>238</v>
      </c>
    </row>
    <row r="733" spans="1:11" x14ac:dyDescent="0.35">
      <c r="A733" s="15">
        <v>45814</v>
      </c>
      <c r="B733" s="11" t="s">
        <v>716</v>
      </c>
      <c r="C733" s="19">
        <v>45811</v>
      </c>
      <c r="D733" s="13" t="s">
        <v>399</v>
      </c>
      <c r="E733" s="12">
        <v>25000</v>
      </c>
      <c r="F733" s="21" t="s">
        <v>23</v>
      </c>
      <c r="G733" s="21" t="s">
        <v>72</v>
      </c>
      <c r="H733" s="21" t="s">
        <v>73</v>
      </c>
      <c r="I733" s="21" t="s">
        <v>90</v>
      </c>
      <c r="J733" s="68">
        <f>+MONTH(ExpenseTable[[#This Row],[Voucher Date]])</f>
        <v>6</v>
      </c>
      <c r="K733" s="68" t="s">
        <v>238</v>
      </c>
    </row>
    <row r="734" spans="1:11" x14ac:dyDescent="0.35">
      <c r="A734" s="15">
        <v>45814</v>
      </c>
      <c r="B734" s="11" t="s">
        <v>716</v>
      </c>
      <c r="C734" s="19">
        <v>45811</v>
      </c>
      <c r="D734" s="13" t="s">
        <v>718</v>
      </c>
      <c r="E734" s="12">
        <v>30000</v>
      </c>
      <c r="F734" s="21" t="s">
        <v>50</v>
      </c>
      <c r="G734" s="21" t="s">
        <v>72</v>
      </c>
      <c r="H734" s="21" t="s">
        <v>73</v>
      </c>
      <c r="I734" s="21" t="s">
        <v>90</v>
      </c>
      <c r="J734" s="68">
        <f>+MONTH(ExpenseTable[[#This Row],[Voucher Date]])</f>
        <v>6</v>
      </c>
      <c r="K734" s="68" t="s">
        <v>238</v>
      </c>
    </row>
    <row r="735" spans="1:11" x14ac:dyDescent="0.35">
      <c r="A735" s="15">
        <v>45811</v>
      </c>
      <c r="B735" s="11" t="s">
        <v>716</v>
      </c>
      <c r="C735" s="19">
        <v>45811</v>
      </c>
      <c r="D735" s="13" t="s">
        <v>721</v>
      </c>
      <c r="E735" s="12">
        <v>50000</v>
      </c>
      <c r="F735" s="21" t="s">
        <v>40</v>
      </c>
      <c r="G735" s="21" t="s">
        <v>72</v>
      </c>
      <c r="H735" s="21" t="s">
        <v>73</v>
      </c>
      <c r="I735" s="21" t="s">
        <v>90</v>
      </c>
      <c r="J735" s="68">
        <f>+MONTH(ExpenseTable[[#This Row],[Voucher Date]])</f>
        <v>6</v>
      </c>
      <c r="K735" s="68" t="s">
        <v>238</v>
      </c>
    </row>
    <row r="736" spans="1:11" x14ac:dyDescent="0.35">
      <c r="A736" s="15">
        <v>45819</v>
      </c>
      <c r="B736" s="11" t="s">
        <v>723</v>
      </c>
      <c r="C736" s="19">
        <v>45813</v>
      </c>
      <c r="D736" s="13" t="s">
        <v>728</v>
      </c>
      <c r="E736" s="12">
        <v>1000</v>
      </c>
      <c r="F736" s="21" t="s">
        <v>27</v>
      </c>
      <c r="G736" s="21" t="s">
        <v>72</v>
      </c>
      <c r="H736" s="21" t="s">
        <v>73</v>
      </c>
      <c r="I736" s="21" t="s">
        <v>90</v>
      </c>
      <c r="J736" s="68">
        <f>+MONTH(ExpenseTable[[#This Row],[Voucher Date]])</f>
        <v>6</v>
      </c>
      <c r="K736" s="68" t="s">
        <v>238</v>
      </c>
    </row>
    <row r="737" spans="1:11" x14ac:dyDescent="0.35">
      <c r="A737" s="15">
        <v>45819</v>
      </c>
      <c r="B737" s="11" t="s">
        <v>723</v>
      </c>
      <c r="C737" s="19">
        <v>45813</v>
      </c>
      <c r="D737" s="13" t="s">
        <v>726</v>
      </c>
      <c r="E737" s="12">
        <v>2000</v>
      </c>
      <c r="F737" s="21" t="s">
        <v>21</v>
      </c>
      <c r="G737" s="21" t="s">
        <v>72</v>
      </c>
      <c r="H737" s="21" t="s">
        <v>73</v>
      </c>
      <c r="I737" s="21" t="s">
        <v>90</v>
      </c>
      <c r="J737" s="68">
        <f>+MONTH(ExpenseTable[[#This Row],[Voucher Date]])</f>
        <v>6</v>
      </c>
      <c r="K737" s="68" t="s">
        <v>238</v>
      </c>
    </row>
    <row r="738" spans="1:11" x14ac:dyDescent="0.35">
      <c r="A738" s="15">
        <v>45819</v>
      </c>
      <c r="B738" s="11" t="s">
        <v>723</v>
      </c>
      <c r="C738" s="19">
        <v>45813</v>
      </c>
      <c r="D738" s="13" t="s">
        <v>725</v>
      </c>
      <c r="E738" s="12">
        <v>10000</v>
      </c>
      <c r="F738" s="21" t="s">
        <v>54</v>
      </c>
      <c r="G738" s="21" t="s">
        <v>67</v>
      </c>
      <c r="H738" s="21" t="s">
        <v>79</v>
      </c>
      <c r="I738" s="21" t="s">
        <v>90</v>
      </c>
      <c r="J738" s="68">
        <f>+MONTH(ExpenseTable[[#This Row],[Voucher Date]])</f>
        <v>6</v>
      </c>
      <c r="K738" s="68" t="s">
        <v>238</v>
      </c>
    </row>
    <row r="739" spans="1:11" x14ac:dyDescent="0.35">
      <c r="A739" s="15">
        <v>45813</v>
      </c>
      <c r="B739" s="11" t="s">
        <v>723</v>
      </c>
      <c r="C739" s="19">
        <v>45813</v>
      </c>
      <c r="D739" s="13" t="s">
        <v>171</v>
      </c>
      <c r="E739" s="12">
        <v>15000</v>
      </c>
      <c r="F739" s="21" t="s">
        <v>54</v>
      </c>
      <c r="G739" s="21" t="s">
        <v>67</v>
      </c>
      <c r="H739" s="21" t="s">
        <v>79</v>
      </c>
      <c r="I739" s="21" t="s">
        <v>90</v>
      </c>
      <c r="J739" s="68">
        <f>+MONTH(ExpenseTable[[#This Row],[Voucher Date]])</f>
        <v>6</v>
      </c>
      <c r="K739" s="68" t="s">
        <v>238</v>
      </c>
    </row>
    <row r="740" spans="1:11" x14ac:dyDescent="0.35">
      <c r="A740" s="15">
        <v>45815</v>
      </c>
      <c r="B740" s="11" t="s">
        <v>723</v>
      </c>
      <c r="C740" s="19">
        <v>45813</v>
      </c>
      <c r="D740" s="13" t="s">
        <v>724</v>
      </c>
      <c r="E740" s="12">
        <v>20400</v>
      </c>
      <c r="F740" s="21" t="s">
        <v>54</v>
      </c>
      <c r="G740" s="21" t="s">
        <v>80</v>
      </c>
      <c r="H740" s="21" t="s">
        <v>81</v>
      </c>
      <c r="I740" s="21" t="s">
        <v>90</v>
      </c>
      <c r="J740" s="68">
        <f>+MONTH(ExpenseTable[[#This Row],[Voucher Date]])</f>
        <v>6</v>
      </c>
      <c r="K740" s="68" t="s">
        <v>238</v>
      </c>
    </row>
    <row r="741" spans="1:11" x14ac:dyDescent="0.35">
      <c r="A741" s="15">
        <v>45819</v>
      </c>
      <c r="B741" s="11" t="s">
        <v>723</v>
      </c>
      <c r="C741" s="19">
        <v>45813</v>
      </c>
      <c r="D741" s="13" t="s">
        <v>731</v>
      </c>
      <c r="E741" s="12">
        <v>22000</v>
      </c>
      <c r="F741" s="21" t="s">
        <v>25</v>
      </c>
      <c r="G741" s="21" t="s">
        <v>72</v>
      </c>
      <c r="H741" s="21" t="s">
        <v>73</v>
      </c>
      <c r="I741" s="21" t="s">
        <v>90</v>
      </c>
      <c r="J741" s="68">
        <f>+MONTH(ExpenseTable[[#This Row],[Voucher Date]])</f>
        <v>6</v>
      </c>
      <c r="K741" s="68" t="s">
        <v>238</v>
      </c>
    </row>
    <row r="742" spans="1:11" x14ac:dyDescent="0.35">
      <c r="A742" s="15">
        <v>45819</v>
      </c>
      <c r="B742" s="11" t="s">
        <v>723</v>
      </c>
      <c r="C742" s="19">
        <v>45813</v>
      </c>
      <c r="D742" s="13" t="s">
        <v>288</v>
      </c>
      <c r="E742" s="12">
        <v>50000</v>
      </c>
      <c r="F742" s="21" t="s">
        <v>40</v>
      </c>
      <c r="G742" s="21" t="s">
        <v>67</v>
      </c>
      <c r="H742" s="21" t="s">
        <v>79</v>
      </c>
      <c r="I742" s="21" t="s">
        <v>90</v>
      </c>
      <c r="J742" s="68">
        <f>+MONTH(ExpenseTable[[#This Row],[Voucher Date]])</f>
        <v>6</v>
      </c>
      <c r="K742" s="68" t="s">
        <v>238</v>
      </c>
    </row>
    <row r="743" spans="1:11" x14ac:dyDescent="0.35">
      <c r="A743" s="15">
        <v>45814</v>
      </c>
      <c r="B743" s="11" t="s">
        <v>869</v>
      </c>
      <c r="C743" s="19">
        <v>45813</v>
      </c>
      <c r="D743" s="13" t="s">
        <v>732</v>
      </c>
      <c r="E743" s="12">
        <v>2400</v>
      </c>
      <c r="F743" s="21" t="s">
        <v>55</v>
      </c>
      <c r="G743" s="21" t="s">
        <v>72</v>
      </c>
      <c r="H743" s="21" t="s">
        <v>73</v>
      </c>
      <c r="I743" s="21" t="s">
        <v>1123</v>
      </c>
      <c r="J743" s="68">
        <f>+MONTH(ExpenseTable[[#This Row],[Voucher Date]])</f>
        <v>6</v>
      </c>
      <c r="K743" s="68" t="s">
        <v>238</v>
      </c>
    </row>
    <row r="744" spans="1:11" x14ac:dyDescent="0.35">
      <c r="A744" s="15">
        <v>45826</v>
      </c>
      <c r="B744" s="11" t="s">
        <v>869</v>
      </c>
      <c r="C744" s="19">
        <v>45813</v>
      </c>
      <c r="D744" s="13" t="s">
        <v>729</v>
      </c>
      <c r="E744" s="12">
        <v>20100</v>
      </c>
      <c r="F744" s="21" t="s">
        <v>35</v>
      </c>
      <c r="G744" s="21" t="s">
        <v>72</v>
      </c>
      <c r="H744" s="21" t="s">
        <v>73</v>
      </c>
      <c r="I744" s="21" t="s">
        <v>1123</v>
      </c>
      <c r="J744" s="68">
        <f>+MONTH(ExpenseTable[[#This Row],[Voucher Date]])</f>
        <v>6</v>
      </c>
      <c r="K744" s="68" t="s">
        <v>238</v>
      </c>
    </row>
    <row r="745" spans="1:11" x14ac:dyDescent="0.35">
      <c r="A745" s="15">
        <v>45810</v>
      </c>
      <c r="B745" s="11" t="s">
        <v>869</v>
      </c>
      <c r="C745" s="19">
        <v>45813</v>
      </c>
      <c r="D745" s="13" t="s">
        <v>189</v>
      </c>
      <c r="E745" s="12">
        <v>25000</v>
      </c>
      <c r="F745" s="21" t="s">
        <v>40</v>
      </c>
      <c r="G745" s="21" t="s">
        <v>72</v>
      </c>
      <c r="H745" s="21" t="s">
        <v>73</v>
      </c>
      <c r="I745" s="21" t="s">
        <v>1123</v>
      </c>
      <c r="J745" s="68">
        <f>+MONTH(ExpenseTable[[#This Row],[Voucher Date]])</f>
        <v>6</v>
      </c>
      <c r="K745" s="68" t="s">
        <v>238</v>
      </c>
    </row>
    <row r="746" spans="1:11" x14ac:dyDescent="0.35">
      <c r="A746" s="15">
        <v>45814</v>
      </c>
      <c r="B746" s="11" t="s">
        <v>869</v>
      </c>
      <c r="C746" s="19">
        <v>45813</v>
      </c>
      <c r="D746" s="13" t="s">
        <v>189</v>
      </c>
      <c r="E746" s="12">
        <v>50000</v>
      </c>
      <c r="F746" s="21" t="s">
        <v>40</v>
      </c>
      <c r="G746" s="21" t="s">
        <v>72</v>
      </c>
      <c r="H746" s="21" t="s">
        <v>73</v>
      </c>
      <c r="I746" s="21" t="s">
        <v>1123</v>
      </c>
      <c r="J746" s="68">
        <f>+MONTH(ExpenseTable[[#This Row],[Voucher Date]])</f>
        <v>6</v>
      </c>
      <c r="K746" s="68" t="s">
        <v>238</v>
      </c>
    </row>
    <row r="747" spans="1:11" x14ac:dyDescent="0.35">
      <c r="A747" s="15">
        <v>45811</v>
      </c>
      <c r="B747" s="11" t="s">
        <v>869</v>
      </c>
      <c r="C747" s="19">
        <v>45813</v>
      </c>
      <c r="D747" s="13" t="s">
        <v>189</v>
      </c>
      <c r="E747" s="12">
        <v>50000</v>
      </c>
      <c r="F747" s="21" t="s">
        <v>54</v>
      </c>
      <c r="G747" s="21" t="s">
        <v>67</v>
      </c>
      <c r="H747" s="21" t="s">
        <v>79</v>
      </c>
      <c r="I747" s="21" t="s">
        <v>1123</v>
      </c>
      <c r="J747" s="68">
        <f>+MONTH(ExpenseTable[[#This Row],[Voucher Date]])</f>
        <v>6</v>
      </c>
      <c r="K747" s="68" t="s">
        <v>238</v>
      </c>
    </row>
    <row r="748" spans="1:11" x14ac:dyDescent="0.35">
      <c r="A748" s="15">
        <v>45831</v>
      </c>
      <c r="B748" s="11" t="s">
        <v>869</v>
      </c>
      <c r="C748" s="19">
        <v>45813</v>
      </c>
      <c r="D748" s="13" t="s">
        <v>727</v>
      </c>
      <c r="E748" s="12">
        <v>68000</v>
      </c>
      <c r="F748" s="21" t="s">
        <v>37</v>
      </c>
      <c r="G748" s="21" t="s">
        <v>72</v>
      </c>
      <c r="H748" s="21" t="s">
        <v>73</v>
      </c>
      <c r="I748" s="21" t="s">
        <v>1123</v>
      </c>
      <c r="J748" s="68">
        <f>+MONTH(ExpenseTable[[#This Row],[Voucher Date]])</f>
        <v>6</v>
      </c>
      <c r="K748" s="68" t="s">
        <v>238</v>
      </c>
    </row>
    <row r="749" spans="1:11" x14ac:dyDescent="0.35">
      <c r="A749" s="15">
        <v>45829</v>
      </c>
      <c r="B749" s="11" t="s">
        <v>869</v>
      </c>
      <c r="C749" s="19">
        <v>45813</v>
      </c>
      <c r="D749" s="13" t="s">
        <v>651</v>
      </c>
      <c r="E749" s="12">
        <v>95000</v>
      </c>
      <c r="F749" s="21" t="s">
        <v>5</v>
      </c>
      <c r="G749" s="21" t="s">
        <v>67</v>
      </c>
      <c r="H749" s="21" t="s">
        <v>79</v>
      </c>
      <c r="I749" s="21" t="s">
        <v>1123</v>
      </c>
      <c r="J749" s="68">
        <f>+MONTH(ExpenseTable[[#This Row],[Voucher Date]])</f>
        <v>6</v>
      </c>
      <c r="K749" s="68" t="s">
        <v>238</v>
      </c>
    </row>
    <row r="750" spans="1:11" x14ac:dyDescent="0.35">
      <c r="A750" s="15">
        <v>45813</v>
      </c>
      <c r="B750" s="11" t="s">
        <v>869</v>
      </c>
      <c r="C750" s="19">
        <v>45813</v>
      </c>
      <c r="D750" s="13" t="s">
        <v>730</v>
      </c>
      <c r="E750" s="12">
        <v>125000</v>
      </c>
      <c r="F750" s="21" t="s">
        <v>23</v>
      </c>
      <c r="G750" s="21" t="s">
        <v>72</v>
      </c>
      <c r="H750" s="21" t="s">
        <v>73</v>
      </c>
      <c r="I750" s="21" t="s">
        <v>1123</v>
      </c>
      <c r="J750" s="68">
        <f>+MONTH(ExpenseTable[[#This Row],[Voucher Date]])</f>
        <v>6</v>
      </c>
      <c r="K750" s="68" t="s">
        <v>238</v>
      </c>
    </row>
    <row r="751" spans="1:11" x14ac:dyDescent="0.35">
      <c r="A751" s="15">
        <v>45819</v>
      </c>
      <c r="B751" s="11" t="s">
        <v>733</v>
      </c>
      <c r="C751" s="19">
        <v>45818</v>
      </c>
      <c r="D751" s="13" t="s">
        <v>320</v>
      </c>
      <c r="E751" s="12">
        <v>500</v>
      </c>
      <c r="F751" s="21" t="s">
        <v>21</v>
      </c>
      <c r="G751" s="21" t="s">
        <v>72</v>
      </c>
      <c r="H751" s="21" t="s">
        <v>73</v>
      </c>
      <c r="I751" s="21" t="s">
        <v>90</v>
      </c>
      <c r="J751" s="68">
        <f>+MONTH(ExpenseTable[[#This Row],[Voucher Date]])</f>
        <v>6</v>
      </c>
      <c r="K751" s="68" t="s">
        <v>238</v>
      </c>
    </row>
    <row r="752" spans="1:11" x14ac:dyDescent="0.35">
      <c r="A752" s="15">
        <v>45821</v>
      </c>
      <c r="B752" s="11" t="s">
        <v>733</v>
      </c>
      <c r="C752" s="19">
        <v>45818</v>
      </c>
      <c r="D752" s="13" t="s">
        <v>735</v>
      </c>
      <c r="E752" s="12">
        <v>1600</v>
      </c>
      <c r="F752" s="21" t="s">
        <v>21</v>
      </c>
      <c r="G752" s="21" t="s">
        <v>72</v>
      </c>
      <c r="H752" s="21" t="s">
        <v>73</v>
      </c>
      <c r="I752" s="21" t="s">
        <v>90</v>
      </c>
      <c r="J752" s="68">
        <f>+MONTH(ExpenseTable[[#This Row],[Voucher Date]])</f>
        <v>6</v>
      </c>
      <c r="K752" s="68" t="s">
        <v>238</v>
      </c>
    </row>
    <row r="753" spans="1:11" x14ac:dyDescent="0.35">
      <c r="A753" s="15">
        <v>45822</v>
      </c>
      <c r="B753" s="11" t="s">
        <v>733</v>
      </c>
      <c r="C753" s="19">
        <v>45818</v>
      </c>
      <c r="D753" s="13" t="s">
        <v>637</v>
      </c>
      <c r="E753" s="12">
        <v>6600</v>
      </c>
      <c r="F753" s="21" t="s">
        <v>54</v>
      </c>
      <c r="G753" s="21" t="s">
        <v>67</v>
      </c>
      <c r="H753" s="21" t="s">
        <v>79</v>
      </c>
      <c r="I753" s="21" t="s">
        <v>90</v>
      </c>
      <c r="J753" s="68">
        <f>+MONTH(ExpenseTable[[#This Row],[Voucher Date]])</f>
        <v>6</v>
      </c>
      <c r="K753" s="68" t="s">
        <v>238</v>
      </c>
    </row>
    <row r="754" spans="1:11" x14ac:dyDescent="0.35">
      <c r="A754" s="15">
        <v>45821</v>
      </c>
      <c r="B754" s="11" t="s">
        <v>733</v>
      </c>
      <c r="C754" s="19">
        <v>45818</v>
      </c>
      <c r="D754" s="13" t="s">
        <v>734</v>
      </c>
      <c r="E754" s="12">
        <v>15000</v>
      </c>
      <c r="F754" s="21" t="s">
        <v>54</v>
      </c>
      <c r="G754" s="21" t="s">
        <v>80</v>
      </c>
      <c r="H754" s="21" t="s">
        <v>89</v>
      </c>
      <c r="I754" s="21" t="s">
        <v>90</v>
      </c>
      <c r="J754" s="68">
        <f>+MONTH(ExpenseTable[[#This Row],[Voucher Date]])</f>
        <v>6</v>
      </c>
      <c r="K754" s="68" t="s">
        <v>238</v>
      </c>
    </row>
    <row r="755" spans="1:11" x14ac:dyDescent="0.35">
      <c r="A755" s="15">
        <v>45818</v>
      </c>
      <c r="B755" s="11" t="s">
        <v>733</v>
      </c>
      <c r="C755" s="19">
        <v>45818</v>
      </c>
      <c r="D755" s="13" t="s">
        <v>737</v>
      </c>
      <c r="E755" s="12">
        <v>40000</v>
      </c>
      <c r="F755" s="21" t="s">
        <v>38</v>
      </c>
      <c r="G755" s="21" t="s">
        <v>72</v>
      </c>
      <c r="H755" s="21" t="s">
        <v>73</v>
      </c>
      <c r="I755" s="21" t="s">
        <v>90</v>
      </c>
      <c r="J755" s="68">
        <f>+MONTH(ExpenseTable[[#This Row],[Voucher Date]])</f>
        <v>6</v>
      </c>
      <c r="K755" s="68" t="s">
        <v>238</v>
      </c>
    </row>
    <row r="756" spans="1:11" x14ac:dyDescent="0.35">
      <c r="A756" s="15">
        <v>45819</v>
      </c>
      <c r="B756" s="11" t="s">
        <v>733</v>
      </c>
      <c r="C756" s="19">
        <v>45818</v>
      </c>
      <c r="D756" s="13" t="s">
        <v>189</v>
      </c>
      <c r="E756" s="12">
        <v>50000</v>
      </c>
      <c r="F756" s="21" t="s">
        <v>40</v>
      </c>
      <c r="G756" s="21" t="s">
        <v>72</v>
      </c>
      <c r="H756" s="21" t="s">
        <v>73</v>
      </c>
      <c r="I756" s="21" t="s">
        <v>90</v>
      </c>
      <c r="J756" s="68">
        <f>+MONTH(ExpenseTable[[#This Row],[Voucher Date]])</f>
        <v>6</v>
      </c>
      <c r="K756" s="68" t="s">
        <v>238</v>
      </c>
    </row>
    <row r="757" spans="1:11" x14ac:dyDescent="0.35">
      <c r="A757" s="15">
        <v>45821</v>
      </c>
      <c r="B757" s="11" t="s">
        <v>733</v>
      </c>
      <c r="C757" s="19">
        <v>45818</v>
      </c>
      <c r="D757" s="13" t="s">
        <v>736</v>
      </c>
      <c r="E757" s="12">
        <v>60000</v>
      </c>
      <c r="F757" s="21" t="s">
        <v>22</v>
      </c>
      <c r="G757" s="21" t="s">
        <v>72</v>
      </c>
      <c r="H757" s="21" t="s">
        <v>73</v>
      </c>
      <c r="I757" s="21" t="s">
        <v>90</v>
      </c>
      <c r="J757" s="68">
        <f>+MONTH(ExpenseTable[[#This Row],[Voucher Date]])</f>
        <v>6</v>
      </c>
      <c r="K757" s="68" t="s">
        <v>238</v>
      </c>
    </row>
    <row r="758" spans="1:11" x14ac:dyDescent="0.35">
      <c r="A758" s="15">
        <v>45818</v>
      </c>
      <c r="B758" s="11" t="s">
        <v>738</v>
      </c>
      <c r="C758" s="19">
        <v>45824</v>
      </c>
      <c r="D758" s="13" t="s">
        <v>747</v>
      </c>
      <c r="E758" s="12">
        <v>3000</v>
      </c>
      <c r="F758" s="21" t="s">
        <v>27</v>
      </c>
      <c r="G758" s="21" t="s">
        <v>72</v>
      </c>
      <c r="H758" s="21" t="s">
        <v>73</v>
      </c>
      <c r="I758" s="21" t="s">
        <v>90</v>
      </c>
      <c r="J758" s="68">
        <f>+MONTH(ExpenseTable[[#This Row],[Voucher Date]])</f>
        <v>6</v>
      </c>
      <c r="K758" s="68" t="s">
        <v>238</v>
      </c>
    </row>
    <row r="759" spans="1:11" x14ac:dyDescent="0.35">
      <c r="A759" s="15">
        <v>45834</v>
      </c>
      <c r="B759" s="11" t="s">
        <v>738</v>
      </c>
      <c r="C759" s="19">
        <v>45824</v>
      </c>
      <c r="D759" s="13" t="s">
        <v>750</v>
      </c>
      <c r="E759" s="12">
        <v>5000</v>
      </c>
      <c r="F759" s="21" t="s">
        <v>54</v>
      </c>
      <c r="G759" s="21" t="s">
        <v>67</v>
      </c>
      <c r="H759" s="21" t="s">
        <v>79</v>
      </c>
      <c r="I759" s="21" t="s">
        <v>90</v>
      </c>
      <c r="J759" s="68">
        <f>+MONTH(ExpenseTable[[#This Row],[Voucher Date]])</f>
        <v>6</v>
      </c>
      <c r="K759" s="68" t="s">
        <v>238</v>
      </c>
    </row>
    <row r="760" spans="1:11" x14ac:dyDescent="0.35">
      <c r="A760" s="15">
        <v>45824</v>
      </c>
      <c r="B760" s="11" t="s">
        <v>738</v>
      </c>
      <c r="C760" s="19">
        <v>45824</v>
      </c>
      <c r="D760" s="13" t="s">
        <v>749</v>
      </c>
      <c r="E760" s="12">
        <v>10000</v>
      </c>
      <c r="F760" s="21" t="s">
        <v>26</v>
      </c>
      <c r="G760" s="21" t="s">
        <v>72</v>
      </c>
      <c r="H760" s="21" t="s">
        <v>73</v>
      </c>
      <c r="I760" s="21" t="s">
        <v>90</v>
      </c>
      <c r="J760" s="68">
        <f>+MONTH(ExpenseTable[[#This Row],[Voucher Date]])</f>
        <v>6</v>
      </c>
      <c r="K760" s="68" t="s">
        <v>238</v>
      </c>
    </row>
    <row r="761" spans="1:11" x14ac:dyDescent="0.35">
      <c r="A761" s="15">
        <v>45824</v>
      </c>
      <c r="B761" s="11" t="s">
        <v>738</v>
      </c>
      <c r="C761" s="19">
        <v>45824</v>
      </c>
      <c r="D761" s="13" t="s">
        <v>748</v>
      </c>
      <c r="E761" s="12">
        <v>10000</v>
      </c>
      <c r="F761" s="21" t="s">
        <v>26</v>
      </c>
      <c r="G761" s="21" t="s">
        <v>72</v>
      </c>
      <c r="H761" s="21" t="s">
        <v>73</v>
      </c>
      <c r="I761" s="21" t="s">
        <v>90</v>
      </c>
      <c r="J761" s="68">
        <f>+MONTH(ExpenseTable[[#This Row],[Voucher Date]])</f>
        <v>6</v>
      </c>
      <c r="K761" s="68" t="s">
        <v>238</v>
      </c>
    </row>
    <row r="762" spans="1:11" x14ac:dyDescent="0.35">
      <c r="A762" s="15">
        <v>45826</v>
      </c>
      <c r="B762" s="11" t="s">
        <v>738</v>
      </c>
      <c r="C762" s="19">
        <v>45824</v>
      </c>
      <c r="D762" s="13" t="s">
        <v>384</v>
      </c>
      <c r="E762" s="12">
        <v>20000</v>
      </c>
      <c r="F762" s="21" t="s">
        <v>26</v>
      </c>
      <c r="G762" s="21" t="s">
        <v>72</v>
      </c>
      <c r="H762" s="21" t="s">
        <v>73</v>
      </c>
      <c r="I762" s="21" t="s">
        <v>90</v>
      </c>
      <c r="J762" s="68">
        <f>+MONTH(ExpenseTable[[#This Row],[Voucher Date]])</f>
        <v>6</v>
      </c>
      <c r="K762" s="68" t="s">
        <v>238</v>
      </c>
    </row>
    <row r="763" spans="1:11" x14ac:dyDescent="0.35">
      <c r="A763" s="15">
        <v>45824</v>
      </c>
      <c r="B763" s="11" t="s">
        <v>745</v>
      </c>
      <c r="C763" s="19">
        <v>45824</v>
      </c>
      <c r="D763" s="13" t="s">
        <v>639</v>
      </c>
      <c r="E763" s="12">
        <v>1000</v>
      </c>
      <c r="F763" s="21" t="s">
        <v>27</v>
      </c>
      <c r="G763" s="21" t="s">
        <v>72</v>
      </c>
      <c r="H763" s="21" t="s">
        <v>73</v>
      </c>
      <c r="I763" s="21" t="s">
        <v>90</v>
      </c>
      <c r="J763" s="68">
        <f>+MONTH(ExpenseTable[[#This Row],[Voucher Date]])</f>
        <v>6</v>
      </c>
      <c r="K763" s="68" t="s">
        <v>238</v>
      </c>
    </row>
    <row r="764" spans="1:11" x14ac:dyDescent="0.35">
      <c r="A764" s="15">
        <v>45826</v>
      </c>
      <c r="B764" s="11" t="s">
        <v>745</v>
      </c>
      <c r="C764" s="19">
        <v>45824</v>
      </c>
      <c r="D764" s="13" t="s">
        <v>741</v>
      </c>
      <c r="E764" s="12">
        <v>2400</v>
      </c>
      <c r="F764" s="21" t="s">
        <v>54</v>
      </c>
      <c r="G764" s="21" t="s">
        <v>67</v>
      </c>
      <c r="H764" s="21" t="s">
        <v>79</v>
      </c>
      <c r="I764" s="21" t="s">
        <v>90</v>
      </c>
      <c r="J764" s="68">
        <f>+MONTH(ExpenseTable[[#This Row],[Voucher Date]])</f>
        <v>6</v>
      </c>
      <c r="K764" s="68" t="s">
        <v>238</v>
      </c>
    </row>
    <row r="765" spans="1:11" x14ac:dyDescent="0.35">
      <c r="A765" s="15">
        <v>45824</v>
      </c>
      <c r="B765" s="11" t="s">
        <v>745</v>
      </c>
      <c r="C765" s="19">
        <v>45824</v>
      </c>
      <c r="D765" s="13" t="s">
        <v>743</v>
      </c>
      <c r="E765" s="12">
        <v>6340</v>
      </c>
      <c r="F765" s="21" t="s">
        <v>27</v>
      </c>
      <c r="G765" s="21" t="s">
        <v>72</v>
      </c>
      <c r="H765" s="21" t="s">
        <v>73</v>
      </c>
      <c r="I765" s="21" t="s">
        <v>90</v>
      </c>
      <c r="J765" s="68">
        <f>+MONTH(ExpenseTable[[#This Row],[Voucher Date]])</f>
        <v>6</v>
      </c>
      <c r="K765" s="68" t="s">
        <v>238</v>
      </c>
    </row>
    <row r="766" spans="1:11" x14ac:dyDescent="0.35">
      <c r="A766" s="15">
        <v>45824</v>
      </c>
      <c r="B766" s="11" t="s">
        <v>745</v>
      </c>
      <c r="C766" s="19">
        <v>45824</v>
      </c>
      <c r="D766" s="13" t="s">
        <v>742</v>
      </c>
      <c r="E766" s="12">
        <v>7530</v>
      </c>
      <c r="F766" s="21" t="s">
        <v>37</v>
      </c>
      <c r="G766" s="21" t="s">
        <v>72</v>
      </c>
      <c r="H766" s="21" t="s">
        <v>73</v>
      </c>
      <c r="I766" s="21" t="s">
        <v>90</v>
      </c>
      <c r="J766" s="68">
        <f>+MONTH(ExpenseTable[[#This Row],[Voucher Date]])</f>
        <v>6</v>
      </c>
      <c r="K766" s="68" t="s">
        <v>238</v>
      </c>
    </row>
    <row r="767" spans="1:11" x14ac:dyDescent="0.35">
      <c r="A767" s="15">
        <v>45825</v>
      </c>
      <c r="B767" s="11" t="s">
        <v>745</v>
      </c>
      <c r="C767" s="19">
        <v>45824</v>
      </c>
      <c r="D767" s="13" t="s">
        <v>739</v>
      </c>
      <c r="E767" s="12">
        <v>10000</v>
      </c>
      <c r="F767" s="21" t="s">
        <v>54</v>
      </c>
      <c r="G767" s="21" t="s">
        <v>67</v>
      </c>
      <c r="H767" s="21" t="s">
        <v>79</v>
      </c>
      <c r="I767" s="21" t="s">
        <v>90</v>
      </c>
      <c r="J767" s="68">
        <f>+MONTH(ExpenseTable[[#This Row],[Voucher Date]])</f>
        <v>6</v>
      </c>
      <c r="K767" s="68" t="s">
        <v>238</v>
      </c>
    </row>
    <row r="768" spans="1:11" x14ac:dyDescent="0.35">
      <c r="A768" s="15">
        <v>45826</v>
      </c>
      <c r="B768" s="11" t="s">
        <v>745</v>
      </c>
      <c r="C768" s="19">
        <v>45824</v>
      </c>
      <c r="D768" s="13" t="s">
        <v>740</v>
      </c>
      <c r="E768" s="12">
        <v>15000</v>
      </c>
      <c r="F768" s="21" t="s">
        <v>54</v>
      </c>
      <c r="G768" s="21" t="s">
        <v>67</v>
      </c>
      <c r="H768" s="21" t="s">
        <v>79</v>
      </c>
      <c r="I768" s="21" t="s">
        <v>90</v>
      </c>
      <c r="J768" s="68">
        <f>+MONTH(ExpenseTable[[#This Row],[Voucher Date]])</f>
        <v>6</v>
      </c>
      <c r="K768" s="68" t="s">
        <v>238</v>
      </c>
    </row>
    <row r="769" spans="1:11" x14ac:dyDescent="0.35">
      <c r="A769" s="15">
        <v>45824</v>
      </c>
      <c r="B769" s="11" t="s">
        <v>745</v>
      </c>
      <c r="C769" s="19">
        <v>45824</v>
      </c>
      <c r="D769" s="13" t="s">
        <v>639</v>
      </c>
      <c r="E769" s="12">
        <v>81800</v>
      </c>
      <c r="F769" s="21" t="s">
        <v>27</v>
      </c>
      <c r="G769" s="21" t="s">
        <v>72</v>
      </c>
      <c r="H769" s="21" t="s">
        <v>73</v>
      </c>
      <c r="I769" s="21" t="s">
        <v>90</v>
      </c>
      <c r="J769" s="68">
        <f>+MONTH(ExpenseTable[[#This Row],[Voucher Date]])</f>
        <v>6</v>
      </c>
      <c r="K769" s="68" t="s">
        <v>238</v>
      </c>
    </row>
    <row r="770" spans="1:11" x14ac:dyDescent="0.35">
      <c r="A770" s="15">
        <v>45824</v>
      </c>
      <c r="B770" s="11" t="s">
        <v>745</v>
      </c>
      <c r="C770" s="19">
        <v>45824</v>
      </c>
      <c r="D770" s="13" t="s">
        <v>744</v>
      </c>
      <c r="E770" s="12">
        <v>532500</v>
      </c>
      <c r="F770" s="21" t="s">
        <v>88</v>
      </c>
      <c r="G770" s="21" t="s">
        <v>72</v>
      </c>
      <c r="H770" s="21" t="s">
        <v>73</v>
      </c>
      <c r="I770" s="21" t="s">
        <v>90</v>
      </c>
      <c r="J770" s="68">
        <f>+MONTH(ExpenseTable[[#This Row],[Voucher Date]])</f>
        <v>6</v>
      </c>
      <c r="K770" s="68" t="s">
        <v>238</v>
      </c>
    </row>
    <row r="771" spans="1:11" x14ac:dyDescent="0.35">
      <c r="A771" s="15">
        <v>45835</v>
      </c>
      <c r="B771" s="11" t="s">
        <v>870</v>
      </c>
      <c r="C771" s="19">
        <v>45824</v>
      </c>
      <c r="D771" s="13" t="s">
        <v>550</v>
      </c>
      <c r="E771" s="12">
        <v>3500</v>
      </c>
      <c r="F771" s="21" t="s">
        <v>21</v>
      </c>
      <c r="G771" s="21" t="s">
        <v>72</v>
      </c>
      <c r="H771" s="21" t="s">
        <v>73</v>
      </c>
      <c r="I771" s="21" t="s">
        <v>1123</v>
      </c>
      <c r="J771" s="68">
        <f>+MONTH(ExpenseTable[[#This Row],[Voucher Date]])</f>
        <v>6</v>
      </c>
      <c r="K771" s="68" t="s">
        <v>238</v>
      </c>
    </row>
    <row r="772" spans="1:11" x14ac:dyDescent="0.35">
      <c r="A772" s="15">
        <v>45835</v>
      </c>
      <c r="B772" s="11" t="s">
        <v>870</v>
      </c>
      <c r="C772" s="19">
        <v>45824</v>
      </c>
      <c r="D772" s="13" t="s">
        <v>746</v>
      </c>
      <c r="E772" s="12">
        <v>24000</v>
      </c>
      <c r="F772" s="21" t="s">
        <v>5</v>
      </c>
      <c r="G772" s="21" t="s">
        <v>72</v>
      </c>
      <c r="H772" s="21" t="s">
        <v>73</v>
      </c>
      <c r="I772" s="21" t="s">
        <v>80</v>
      </c>
      <c r="J772" s="68">
        <f>+MONTH(ExpenseTable[[#This Row],[Voucher Date]])</f>
        <v>6</v>
      </c>
      <c r="K772" s="68" t="s">
        <v>238</v>
      </c>
    </row>
    <row r="773" spans="1:11" x14ac:dyDescent="0.35">
      <c r="A773" s="15">
        <v>45836</v>
      </c>
      <c r="B773" s="11" t="s">
        <v>870</v>
      </c>
      <c r="C773" s="19">
        <v>45824</v>
      </c>
      <c r="D773" s="13" t="s">
        <v>288</v>
      </c>
      <c r="E773" s="12">
        <v>35000</v>
      </c>
      <c r="F773" s="21" t="s">
        <v>54</v>
      </c>
      <c r="G773" s="21" t="s">
        <v>67</v>
      </c>
      <c r="H773" s="21" t="s">
        <v>79</v>
      </c>
      <c r="I773" s="21" t="s">
        <v>1123</v>
      </c>
      <c r="J773" s="68">
        <f>+MONTH(ExpenseTable[[#This Row],[Voucher Date]])</f>
        <v>6</v>
      </c>
      <c r="K773" s="68" t="s">
        <v>238</v>
      </c>
    </row>
    <row r="774" spans="1:11" x14ac:dyDescent="0.35">
      <c r="A774" s="15">
        <v>45836</v>
      </c>
      <c r="B774" s="11" t="s">
        <v>870</v>
      </c>
      <c r="C774" s="19">
        <v>45824</v>
      </c>
      <c r="D774" s="13" t="s">
        <v>189</v>
      </c>
      <c r="E774" s="12">
        <v>70000</v>
      </c>
      <c r="F774" s="21" t="s">
        <v>40</v>
      </c>
      <c r="G774" s="21" t="s">
        <v>72</v>
      </c>
      <c r="H774" s="21" t="s">
        <v>73</v>
      </c>
      <c r="I774" s="21" t="s">
        <v>1123</v>
      </c>
      <c r="J774" s="68">
        <f>+MONTH(ExpenseTable[[#This Row],[Voucher Date]])</f>
        <v>6</v>
      </c>
      <c r="K774" s="68" t="s">
        <v>238</v>
      </c>
    </row>
    <row r="775" spans="1:11" x14ac:dyDescent="0.35">
      <c r="A775" s="15">
        <v>45824</v>
      </c>
      <c r="B775" s="11" t="s">
        <v>870</v>
      </c>
      <c r="C775" s="19">
        <v>45824</v>
      </c>
      <c r="D775" s="13" t="s">
        <v>189</v>
      </c>
      <c r="E775" s="12">
        <v>80000</v>
      </c>
      <c r="F775" s="21" t="s">
        <v>40</v>
      </c>
      <c r="G775" s="21" t="s">
        <v>72</v>
      </c>
      <c r="H775" s="21" t="s">
        <v>73</v>
      </c>
      <c r="I775" s="21" t="s">
        <v>1123</v>
      </c>
      <c r="J775" s="68">
        <f>+MONTH(ExpenseTable[[#This Row],[Voucher Date]])</f>
        <v>6</v>
      </c>
      <c r="K775" s="68" t="s">
        <v>238</v>
      </c>
    </row>
    <row r="776" spans="1:11" x14ac:dyDescent="0.35">
      <c r="A776" s="15">
        <v>45812</v>
      </c>
      <c r="B776" s="11" t="s">
        <v>870</v>
      </c>
      <c r="C776" s="19">
        <v>45824</v>
      </c>
      <c r="D776" s="13" t="s">
        <v>576</v>
      </c>
      <c r="E776" s="12">
        <v>500000</v>
      </c>
      <c r="F776" s="21" t="s">
        <v>54</v>
      </c>
      <c r="G776" s="21" t="s">
        <v>80</v>
      </c>
      <c r="H776" s="21" t="s">
        <v>89</v>
      </c>
      <c r="I776" s="21" t="s">
        <v>1123</v>
      </c>
      <c r="J776" s="68">
        <f>+MONTH(ExpenseTable[[#This Row],[Voucher Date]])</f>
        <v>6</v>
      </c>
      <c r="K776" s="68" t="s">
        <v>238</v>
      </c>
    </row>
    <row r="777" spans="1:11" x14ac:dyDescent="0.35">
      <c r="A777" s="15">
        <v>45824</v>
      </c>
      <c r="B777" s="11" t="s">
        <v>870</v>
      </c>
      <c r="C777" s="19">
        <v>45824</v>
      </c>
      <c r="D777" s="13" t="s">
        <v>576</v>
      </c>
      <c r="E777" s="12">
        <v>500000</v>
      </c>
      <c r="F777" s="21" t="s">
        <v>54</v>
      </c>
      <c r="G777" s="21" t="s">
        <v>80</v>
      </c>
      <c r="H777" s="21" t="s">
        <v>89</v>
      </c>
      <c r="I777" s="21" t="s">
        <v>1123</v>
      </c>
      <c r="J777" s="68">
        <f>+MONTH(ExpenseTable[[#This Row],[Voucher Date]])</f>
        <v>6</v>
      </c>
      <c r="K777" s="68" t="s">
        <v>238</v>
      </c>
    </row>
    <row r="778" spans="1:11" x14ac:dyDescent="0.35">
      <c r="A778" s="15">
        <v>45825</v>
      </c>
      <c r="B778" s="11" t="s">
        <v>751</v>
      </c>
      <c r="C778" s="19">
        <v>45825</v>
      </c>
      <c r="D778" s="13" t="s">
        <v>752</v>
      </c>
      <c r="E778" s="12">
        <v>152926.39999999999</v>
      </c>
      <c r="F778" s="21" t="s">
        <v>96</v>
      </c>
      <c r="G778" s="21" t="s">
        <v>72</v>
      </c>
      <c r="H778" s="21" t="s">
        <v>73</v>
      </c>
      <c r="I778" s="21" t="s">
        <v>91</v>
      </c>
      <c r="J778" s="68">
        <f>+MONTH(ExpenseTable[[#This Row],[Voucher Date]])</f>
        <v>6</v>
      </c>
      <c r="K778" s="68" t="s">
        <v>238</v>
      </c>
    </row>
    <row r="779" spans="1:11" x14ac:dyDescent="0.35">
      <c r="A779" s="15">
        <v>45813</v>
      </c>
      <c r="B779" s="11" t="s">
        <v>751</v>
      </c>
      <c r="C779" s="19">
        <v>45825</v>
      </c>
      <c r="D779" s="13" t="s">
        <v>753</v>
      </c>
      <c r="E779" s="12">
        <v>164573.35999999999</v>
      </c>
      <c r="F779" s="21" t="s">
        <v>56</v>
      </c>
      <c r="G779" s="21" t="s">
        <v>72</v>
      </c>
      <c r="H779" s="21" t="s">
        <v>73</v>
      </c>
      <c r="I779" s="21" t="s">
        <v>91</v>
      </c>
      <c r="J779" s="68">
        <f>+MONTH(ExpenseTable[[#This Row],[Voucher Date]])</f>
        <v>6</v>
      </c>
      <c r="K779" s="68" t="s">
        <v>238</v>
      </c>
    </row>
    <row r="780" spans="1:11" x14ac:dyDescent="0.35">
      <c r="A780" s="15">
        <v>45825</v>
      </c>
      <c r="B780" s="11" t="s">
        <v>751</v>
      </c>
      <c r="C780" s="19">
        <v>45825</v>
      </c>
      <c r="D780" s="13" t="s">
        <v>754</v>
      </c>
      <c r="E780" s="12">
        <v>690658.46</v>
      </c>
      <c r="F780" s="21" t="s">
        <v>83</v>
      </c>
      <c r="G780" s="21" t="s">
        <v>72</v>
      </c>
      <c r="H780" s="21" t="s">
        <v>73</v>
      </c>
      <c r="I780" s="21" t="s">
        <v>91</v>
      </c>
      <c r="J780" s="68">
        <f>+MONTH(ExpenseTable[[#This Row],[Voucher Date]])</f>
        <v>6</v>
      </c>
      <c r="K780" s="68" t="s">
        <v>238</v>
      </c>
    </row>
    <row r="781" spans="1:11" x14ac:dyDescent="0.35">
      <c r="A781" s="15">
        <v>45828</v>
      </c>
      <c r="B781" s="11" t="s">
        <v>755</v>
      </c>
      <c r="C781" s="19">
        <v>45828</v>
      </c>
      <c r="D781" s="13" t="s">
        <v>741</v>
      </c>
      <c r="E781" s="12">
        <v>1200</v>
      </c>
      <c r="F781" s="21" t="s">
        <v>54</v>
      </c>
      <c r="G781" s="21" t="s">
        <v>67</v>
      </c>
      <c r="H781" s="21" t="s">
        <v>79</v>
      </c>
      <c r="I781" s="21" t="s">
        <v>90</v>
      </c>
      <c r="J781" s="68">
        <f>+MONTH(ExpenseTable[[#This Row],[Voucher Date]])</f>
        <v>6</v>
      </c>
      <c r="K781" s="68" t="s">
        <v>238</v>
      </c>
    </row>
    <row r="782" spans="1:11" x14ac:dyDescent="0.35">
      <c r="A782" s="15">
        <v>45832</v>
      </c>
      <c r="B782" s="11" t="s">
        <v>755</v>
      </c>
      <c r="C782" s="19">
        <v>45828</v>
      </c>
      <c r="D782" s="13" t="s">
        <v>760</v>
      </c>
      <c r="E782" s="12">
        <v>1700</v>
      </c>
      <c r="F782" s="21" t="s">
        <v>27</v>
      </c>
      <c r="G782" s="21" t="s">
        <v>72</v>
      </c>
      <c r="H782" s="21" t="s">
        <v>73</v>
      </c>
      <c r="I782" s="21" t="s">
        <v>90</v>
      </c>
      <c r="J782" s="68">
        <f>+MONTH(ExpenseTable[[#This Row],[Voucher Date]])</f>
        <v>6</v>
      </c>
      <c r="K782" s="68" t="s">
        <v>238</v>
      </c>
    </row>
    <row r="783" spans="1:11" x14ac:dyDescent="0.35">
      <c r="A783" s="15">
        <v>45833</v>
      </c>
      <c r="B783" s="11" t="s">
        <v>755</v>
      </c>
      <c r="C783" s="19">
        <v>45828</v>
      </c>
      <c r="D783" s="13" t="s">
        <v>756</v>
      </c>
      <c r="E783" s="12">
        <v>2400</v>
      </c>
      <c r="F783" s="21" t="s">
        <v>54</v>
      </c>
      <c r="G783" s="21" t="s">
        <v>67</v>
      </c>
      <c r="H783" s="21" t="s">
        <v>79</v>
      </c>
      <c r="I783" s="21" t="s">
        <v>90</v>
      </c>
      <c r="J783" s="68">
        <f>+MONTH(ExpenseTable[[#This Row],[Voucher Date]])</f>
        <v>6</v>
      </c>
      <c r="K783" s="68" t="s">
        <v>238</v>
      </c>
    </row>
    <row r="784" spans="1:11" x14ac:dyDescent="0.35">
      <c r="A784" s="15">
        <v>45831</v>
      </c>
      <c r="B784" s="11" t="s">
        <v>755</v>
      </c>
      <c r="C784" s="19">
        <v>45828</v>
      </c>
      <c r="D784" s="13" t="s">
        <v>757</v>
      </c>
      <c r="E784" s="12">
        <v>6260</v>
      </c>
      <c r="F784" s="21" t="s">
        <v>37</v>
      </c>
      <c r="G784" s="21" t="s">
        <v>72</v>
      </c>
      <c r="H784" s="21" t="s">
        <v>73</v>
      </c>
      <c r="I784" s="21" t="s">
        <v>90</v>
      </c>
      <c r="J784" s="68">
        <f>+MONTH(ExpenseTable[[#This Row],[Voucher Date]])</f>
        <v>6</v>
      </c>
      <c r="K784" s="68" t="s">
        <v>238</v>
      </c>
    </row>
    <row r="785" spans="1:11" x14ac:dyDescent="0.35">
      <c r="A785" s="15">
        <v>45832</v>
      </c>
      <c r="B785" s="11" t="s">
        <v>755</v>
      </c>
      <c r="C785" s="19">
        <v>45828</v>
      </c>
      <c r="D785" s="13" t="s">
        <v>758</v>
      </c>
      <c r="E785" s="12">
        <v>11000</v>
      </c>
      <c r="F785" s="21" t="s">
        <v>22</v>
      </c>
      <c r="G785" s="21" t="s">
        <v>72</v>
      </c>
      <c r="H785" s="21" t="s">
        <v>73</v>
      </c>
      <c r="I785" s="21" t="s">
        <v>90</v>
      </c>
      <c r="J785" s="68">
        <f>+MONTH(ExpenseTable[[#This Row],[Voucher Date]])</f>
        <v>6</v>
      </c>
      <c r="K785" s="68" t="s">
        <v>238</v>
      </c>
    </row>
    <row r="786" spans="1:11" x14ac:dyDescent="0.35">
      <c r="A786" s="15">
        <v>45828</v>
      </c>
      <c r="B786" s="11" t="s">
        <v>755</v>
      </c>
      <c r="C786" s="19">
        <v>45828</v>
      </c>
      <c r="D786" s="13" t="s">
        <v>761</v>
      </c>
      <c r="E786" s="12">
        <v>16000</v>
      </c>
      <c r="F786" s="21" t="s">
        <v>25</v>
      </c>
      <c r="G786" s="21" t="s">
        <v>72</v>
      </c>
      <c r="H786" s="21" t="s">
        <v>73</v>
      </c>
      <c r="I786" s="21" t="s">
        <v>90</v>
      </c>
      <c r="J786" s="68">
        <f>+MONTH(ExpenseTable[[#This Row],[Voucher Date]])</f>
        <v>6</v>
      </c>
      <c r="K786" s="68" t="s">
        <v>238</v>
      </c>
    </row>
    <row r="787" spans="1:11" x14ac:dyDescent="0.35">
      <c r="A787" s="15">
        <v>45832</v>
      </c>
      <c r="B787" s="11" t="s">
        <v>755</v>
      </c>
      <c r="C787" s="19">
        <v>45828</v>
      </c>
      <c r="D787" s="13" t="s">
        <v>759</v>
      </c>
      <c r="E787" s="12">
        <v>20000</v>
      </c>
      <c r="F787" s="21" t="s">
        <v>22</v>
      </c>
      <c r="G787" s="21" t="s">
        <v>72</v>
      </c>
      <c r="H787" s="21" t="s">
        <v>73</v>
      </c>
      <c r="I787" s="21" t="s">
        <v>90</v>
      </c>
      <c r="J787" s="68">
        <f>+MONTH(ExpenseTable[[#This Row],[Voucher Date]])</f>
        <v>6</v>
      </c>
      <c r="K787" s="68" t="s">
        <v>238</v>
      </c>
    </row>
    <row r="788" spans="1:11" x14ac:dyDescent="0.35">
      <c r="A788" s="15">
        <v>45828</v>
      </c>
      <c r="B788" s="11" t="s">
        <v>755</v>
      </c>
      <c r="C788" s="19">
        <v>45828</v>
      </c>
      <c r="D788" s="13" t="s">
        <v>582</v>
      </c>
      <c r="E788" s="12">
        <v>40000</v>
      </c>
      <c r="F788" s="21" t="s">
        <v>54</v>
      </c>
      <c r="G788" s="21" t="s">
        <v>67</v>
      </c>
      <c r="H788" s="21" t="s">
        <v>79</v>
      </c>
      <c r="I788" s="21" t="s">
        <v>90</v>
      </c>
      <c r="J788" s="68">
        <f>+MONTH(ExpenseTable[[#This Row],[Voucher Date]])</f>
        <v>6</v>
      </c>
      <c r="K788" s="68" t="s">
        <v>238</v>
      </c>
    </row>
    <row r="789" spans="1:11" x14ac:dyDescent="0.35">
      <c r="A789" s="15">
        <v>45813</v>
      </c>
      <c r="B789" s="11" t="s">
        <v>762</v>
      </c>
      <c r="C789" s="19">
        <v>45829</v>
      </c>
      <c r="D789" s="13" t="s">
        <v>766</v>
      </c>
      <c r="E789" s="12">
        <v>5000</v>
      </c>
      <c r="F789" s="21" t="s">
        <v>54</v>
      </c>
      <c r="G789" s="21" t="s">
        <v>67</v>
      </c>
      <c r="H789" s="21" t="s">
        <v>79</v>
      </c>
      <c r="I789" s="21" t="s">
        <v>1123</v>
      </c>
      <c r="J789" s="68">
        <f>+MONTH(ExpenseTable[[#This Row],[Voucher Date]])</f>
        <v>6</v>
      </c>
      <c r="K789" s="68" t="s">
        <v>238</v>
      </c>
    </row>
    <row r="790" spans="1:11" x14ac:dyDescent="0.35">
      <c r="A790" s="15">
        <v>45829</v>
      </c>
      <c r="B790" s="11" t="s">
        <v>762</v>
      </c>
      <c r="C790" s="19">
        <v>45829</v>
      </c>
      <c r="D790" s="13" t="s">
        <v>763</v>
      </c>
      <c r="E790" s="12">
        <v>10000</v>
      </c>
      <c r="F790" s="21" t="s">
        <v>5</v>
      </c>
      <c r="G790" s="21" t="s">
        <v>72</v>
      </c>
      <c r="H790" s="21" t="s">
        <v>73</v>
      </c>
      <c r="I790" s="21" t="s">
        <v>1123</v>
      </c>
      <c r="J790" s="68">
        <f>+MONTH(ExpenseTable[[#This Row],[Voucher Date]])</f>
        <v>6</v>
      </c>
      <c r="K790" s="68" t="s">
        <v>238</v>
      </c>
    </row>
    <row r="791" spans="1:11" x14ac:dyDescent="0.35">
      <c r="A791" s="15">
        <v>45838</v>
      </c>
      <c r="B791" s="11" t="s">
        <v>762</v>
      </c>
      <c r="C791" s="19">
        <v>45829</v>
      </c>
      <c r="D791" s="13" t="s">
        <v>767</v>
      </c>
      <c r="E791" s="12">
        <v>10000</v>
      </c>
      <c r="F791" s="21" t="s">
        <v>5</v>
      </c>
      <c r="G791" s="21" t="s">
        <v>72</v>
      </c>
      <c r="H791" s="21" t="s">
        <v>73</v>
      </c>
      <c r="I791" s="21" t="s">
        <v>1123</v>
      </c>
      <c r="J791" s="68">
        <f>+MONTH(ExpenseTable[[#This Row],[Voucher Date]])</f>
        <v>6</v>
      </c>
      <c r="K791" s="68" t="s">
        <v>238</v>
      </c>
    </row>
    <row r="792" spans="1:11" x14ac:dyDescent="0.35">
      <c r="A792" s="15">
        <v>45838</v>
      </c>
      <c r="B792" s="11" t="s">
        <v>762</v>
      </c>
      <c r="C792" s="19">
        <v>45829</v>
      </c>
      <c r="D792" s="13" t="s">
        <v>768</v>
      </c>
      <c r="E792" s="12">
        <v>10000</v>
      </c>
      <c r="F792" s="21" t="s">
        <v>57</v>
      </c>
      <c r="G792" s="21" t="s">
        <v>72</v>
      </c>
      <c r="H792" s="21" t="s">
        <v>73</v>
      </c>
      <c r="I792" s="21" t="s">
        <v>1123</v>
      </c>
      <c r="J792" s="68">
        <f>+MONTH(ExpenseTable[[#This Row],[Voucher Date]])</f>
        <v>6</v>
      </c>
      <c r="K792" s="68" t="s">
        <v>238</v>
      </c>
    </row>
    <row r="793" spans="1:11" x14ac:dyDescent="0.35">
      <c r="A793" s="15">
        <v>45837</v>
      </c>
      <c r="B793" s="11" t="s">
        <v>762</v>
      </c>
      <c r="C793" s="19">
        <v>45829</v>
      </c>
      <c r="D793" s="13" t="s">
        <v>741</v>
      </c>
      <c r="E793" s="12">
        <v>10000</v>
      </c>
      <c r="F793" s="21" t="s">
        <v>54</v>
      </c>
      <c r="G793" s="21" t="s">
        <v>67</v>
      </c>
      <c r="H793" s="21" t="s">
        <v>79</v>
      </c>
      <c r="I793" s="21" t="s">
        <v>1123</v>
      </c>
      <c r="J793" s="68">
        <f>+MONTH(ExpenseTable[[#This Row],[Voucher Date]])</f>
        <v>6</v>
      </c>
      <c r="K793" s="68" t="s">
        <v>238</v>
      </c>
    </row>
    <row r="794" spans="1:11" x14ac:dyDescent="0.35">
      <c r="A794" s="15">
        <v>45829</v>
      </c>
      <c r="B794" s="11" t="s">
        <v>762</v>
      </c>
      <c r="C794" s="19">
        <v>45829</v>
      </c>
      <c r="D794" s="13" t="s">
        <v>764</v>
      </c>
      <c r="E794" s="12">
        <v>12000</v>
      </c>
      <c r="F794" s="21" t="s">
        <v>54</v>
      </c>
      <c r="G794" s="21" t="s">
        <v>67</v>
      </c>
      <c r="H794" s="21" t="s">
        <v>79</v>
      </c>
      <c r="I794" s="21" t="s">
        <v>1123</v>
      </c>
      <c r="J794" s="68">
        <f>+MONTH(ExpenseTable[[#This Row],[Voucher Date]])</f>
        <v>6</v>
      </c>
      <c r="K794" s="68" t="s">
        <v>238</v>
      </c>
    </row>
    <row r="795" spans="1:11" x14ac:dyDescent="0.35">
      <c r="A795" s="15">
        <v>45838</v>
      </c>
      <c r="B795" s="11" t="s">
        <v>762</v>
      </c>
      <c r="C795" s="19">
        <v>45829</v>
      </c>
      <c r="D795" s="13" t="s">
        <v>765</v>
      </c>
      <c r="E795" s="12">
        <v>40000</v>
      </c>
      <c r="F795" s="21" t="s">
        <v>5</v>
      </c>
      <c r="G795" s="21" t="s">
        <v>72</v>
      </c>
      <c r="H795" s="21" t="s">
        <v>73</v>
      </c>
      <c r="I795" s="21" t="s">
        <v>1123</v>
      </c>
      <c r="J795" s="68">
        <f>+MONTH(ExpenseTable[[#This Row],[Voucher Date]])</f>
        <v>6</v>
      </c>
      <c r="K795" s="68" t="s">
        <v>238</v>
      </c>
    </row>
    <row r="796" spans="1:11" x14ac:dyDescent="0.35">
      <c r="A796" s="15">
        <v>45838</v>
      </c>
      <c r="B796" s="11" t="s">
        <v>762</v>
      </c>
      <c r="C796" s="19">
        <v>45829</v>
      </c>
      <c r="D796" s="13" t="s">
        <v>651</v>
      </c>
      <c r="E796" s="12">
        <v>87000</v>
      </c>
      <c r="F796" s="21" t="s">
        <v>23</v>
      </c>
      <c r="G796" s="21" t="s">
        <v>72</v>
      </c>
      <c r="H796" s="21" t="s">
        <v>73</v>
      </c>
      <c r="I796" s="21" t="s">
        <v>1123</v>
      </c>
      <c r="J796" s="68">
        <f>+MONTH(ExpenseTable[[#This Row],[Voucher Date]])</f>
        <v>6</v>
      </c>
      <c r="K796" s="68" t="s">
        <v>238</v>
      </c>
    </row>
    <row r="797" spans="1:11" x14ac:dyDescent="0.35">
      <c r="A797" s="15">
        <v>45834</v>
      </c>
      <c r="B797" s="11" t="s">
        <v>769</v>
      </c>
      <c r="C797" s="19">
        <v>45834</v>
      </c>
      <c r="D797" s="13" t="s">
        <v>767</v>
      </c>
      <c r="E797" s="12">
        <v>10000</v>
      </c>
      <c r="F797" s="21" t="s">
        <v>5</v>
      </c>
      <c r="G797" s="21" t="s">
        <v>72</v>
      </c>
      <c r="H797" s="21" t="s">
        <v>73</v>
      </c>
      <c r="I797" s="21" t="s">
        <v>90</v>
      </c>
      <c r="J797" s="68">
        <f>+MONTH(ExpenseTable[[#This Row],[Voucher Date]])</f>
        <v>6</v>
      </c>
      <c r="K797" s="68" t="s">
        <v>238</v>
      </c>
    </row>
    <row r="798" spans="1:11" x14ac:dyDescent="0.35">
      <c r="A798" s="15">
        <v>45834</v>
      </c>
      <c r="B798" s="11" t="s">
        <v>769</v>
      </c>
      <c r="C798" s="19">
        <v>45834</v>
      </c>
      <c r="D798" s="13" t="s">
        <v>752</v>
      </c>
      <c r="E798" s="12">
        <v>104417.25</v>
      </c>
      <c r="F798" s="21" t="s">
        <v>96</v>
      </c>
      <c r="G798" s="21" t="s">
        <v>72</v>
      </c>
      <c r="H798" s="21" t="s">
        <v>73</v>
      </c>
      <c r="I798" s="21" t="s">
        <v>90</v>
      </c>
      <c r="J798" s="68">
        <f>+MONTH(ExpenseTable[[#This Row],[Voucher Date]])</f>
        <v>6</v>
      </c>
      <c r="K798" s="68" t="s">
        <v>238</v>
      </c>
    </row>
    <row r="799" spans="1:11" x14ac:dyDescent="0.35">
      <c r="A799" s="15">
        <v>45838</v>
      </c>
      <c r="B799" s="11" t="s">
        <v>770</v>
      </c>
      <c r="C799" s="19">
        <v>45838</v>
      </c>
      <c r="D799" s="13" t="s">
        <v>772</v>
      </c>
      <c r="E799" s="12">
        <v>3000</v>
      </c>
      <c r="F799" s="21" t="s">
        <v>31</v>
      </c>
      <c r="G799" s="21" t="s">
        <v>72</v>
      </c>
      <c r="H799" s="21" t="s">
        <v>73</v>
      </c>
      <c r="I799" s="21" t="s">
        <v>1123</v>
      </c>
      <c r="J799" s="68">
        <f>+MONTH(ExpenseTable[[#This Row],[Voucher Date]])</f>
        <v>6</v>
      </c>
      <c r="K799" s="68" t="s">
        <v>238</v>
      </c>
    </row>
    <row r="800" spans="1:11" x14ac:dyDescent="0.35">
      <c r="A800" s="15">
        <v>45837</v>
      </c>
      <c r="B800" s="11" t="s">
        <v>770</v>
      </c>
      <c r="C800" s="19">
        <v>45838</v>
      </c>
      <c r="D800" s="13" t="s">
        <v>705</v>
      </c>
      <c r="E800" s="12">
        <v>23000</v>
      </c>
      <c r="F800" s="21" t="s">
        <v>40</v>
      </c>
      <c r="G800" s="21" t="s">
        <v>72</v>
      </c>
      <c r="H800" s="21" t="s">
        <v>73</v>
      </c>
      <c r="I800" s="21" t="s">
        <v>1123</v>
      </c>
      <c r="J800" s="68">
        <f>+MONTH(ExpenseTable[[#This Row],[Voucher Date]])</f>
        <v>6</v>
      </c>
      <c r="K800" s="68" t="s">
        <v>238</v>
      </c>
    </row>
    <row r="801" spans="1:11" x14ac:dyDescent="0.35">
      <c r="A801" s="15">
        <v>45809</v>
      </c>
      <c r="B801" s="11" t="s">
        <v>770</v>
      </c>
      <c r="C801" s="19">
        <v>45838</v>
      </c>
      <c r="D801" s="13" t="s">
        <v>705</v>
      </c>
      <c r="E801" s="12">
        <v>40000</v>
      </c>
      <c r="F801" s="21" t="s">
        <v>40</v>
      </c>
      <c r="G801" s="21" t="s">
        <v>72</v>
      </c>
      <c r="H801" s="21" t="s">
        <v>73</v>
      </c>
      <c r="I801" s="21" t="s">
        <v>1123</v>
      </c>
      <c r="J801" s="68">
        <f>+MONTH(ExpenseTable[[#This Row],[Voucher Date]])</f>
        <v>6</v>
      </c>
      <c r="K801" s="68" t="s">
        <v>238</v>
      </c>
    </row>
    <row r="802" spans="1:11" x14ac:dyDescent="0.35">
      <c r="A802" s="15">
        <v>45838</v>
      </c>
      <c r="B802" s="11" t="s">
        <v>770</v>
      </c>
      <c r="C802" s="19">
        <v>45838</v>
      </c>
      <c r="D802" s="13" t="s">
        <v>288</v>
      </c>
      <c r="E802" s="12">
        <v>40000</v>
      </c>
      <c r="F802" s="21" t="s">
        <v>54</v>
      </c>
      <c r="G802" s="21" t="s">
        <v>67</v>
      </c>
      <c r="H802" s="21" t="s">
        <v>79</v>
      </c>
      <c r="I802" s="21" t="s">
        <v>1123</v>
      </c>
      <c r="J802" s="68">
        <f>+MONTH(ExpenseTable[[#This Row],[Voucher Date]])</f>
        <v>6</v>
      </c>
      <c r="K802" s="68" t="s">
        <v>238</v>
      </c>
    </row>
    <row r="803" spans="1:11" x14ac:dyDescent="0.35">
      <c r="A803" s="15">
        <v>45825</v>
      </c>
      <c r="B803" s="11" t="s">
        <v>770</v>
      </c>
      <c r="C803" s="19">
        <v>45838</v>
      </c>
      <c r="D803" s="13" t="s">
        <v>188</v>
      </c>
      <c r="E803" s="12">
        <v>49000</v>
      </c>
      <c r="F803" s="21" t="s">
        <v>33</v>
      </c>
      <c r="G803" s="21" t="s">
        <v>72</v>
      </c>
      <c r="H803" s="21" t="s">
        <v>73</v>
      </c>
      <c r="I803" s="21" t="s">
        <v>1123</v>
      </c>
      <c r="J803" s="68">
        <f>+MONTH(ExpenseTable[[#This Row],[Voucher Date]])</f>
        <v>6</v>
      </c>
      <c r="K803" s="68" t="s">
        <v>238</v>
      </c>
    </row>
    <row r="804" spans="1:11" x14ac:dyDescent="0.35">
      <c r="A804" s="15">
        <v>45813</v>
      </c>
      <c r="B804" s="11" t="s">
        <v>770</v>
      </c>
      <c r="C804" s="19">
        <v>45838</v>
      </c>
      <c r="D804" s="13" t="s">
        <v>771</v>
      </c>
      <c r="E804" s="12">
        <v>50000</v>
      </c>
      <c r="F804" s="21" t="s">
        <v>30</v>
      </c>
      <c r="G804" s="21" t="s">
        <v>72</v>
      </c>
      <c r="H804" s="21" t="s">
        <v>73</v>
      </c>
      <c r="I804" s="21" t="s">
        <v>1123</v>
      </c>
      <c r="J804" s="68">
        <f>+MONTH(ExpenseTable[[#This Row],[Voucher Date]])</f>
        <v>6</v>
      </c>
      <c r="K804" s="68" t="s">
        <v>238</v>
      </c>
    </row>
    <row r="805" spans="1:11" x14ac:dyDescent="0.35">
      <c r="A805" s="15">
        <v>45818</v>
      </c>
      <c r="B805" s="11" t="s">
        <v>770</v>
      </c>
      <c r="C805" s="19">
        <v>45838</v>
      </c>
      <c r="D805" s="13" t="s">
        <v>707</v>
      </c>
      <c r="E805" s="12">
        <v>50000</v>
      </c>
      <c r="F805" s="21" t="s">
        <v>30</v>
      </c>
      <c r="G805" s="21" t="s">
        <v>72</v>
      </c>
      <c r="H805" s="21" t="s">
        <v>73</v>
      </c>
      <c r="I805" s="21" t="s">
        <v>1123</v>
      </c>
      <c r="J805" s="68">
        <f>+MONTH(ExpenseTable[[#This Row],[Voucher Date]])</f>
        <v>6</v>
      </c>
      <c r="K805" s="68" t="s">
        <v>238</v>
      </c>
    </row>
    <row r="806" spans="1:11" x14ac:dyDescent="0.35">
      <c r="A806" s="15">
        <v>45837</v>
      </c>
      <c r="B806" s="11" t="s">
        <v>770</v>
      </c>
      <c r="C806" s="19">
        <v>45838</v>
      </c>
      <c r="D806" s="13" t="s">
        <v>729</v>
      </c>
      <c r="E806" s="12">
        <v>50100</v>
      </c>
      <c r="F806" s="21" t="s">
        <v>35</v>
      </c>
      <c r="G806" s="21" t="s">
        <v>72</v>
      </c>
      <c r="H806" s="21" t="s">
        <v>73</v>
      </c>
      <c r="I806" s="21" t="s">
        <v>1123</v>
      </c>
      <c r="J806" s="68">
        <f>+MONTH(ExpenseTable[[#This Row],[Voucher Date]])</f>
        <v>6</v>
      </c>
      <c r="K806" s="68" t="s">
        <v>238</v>
      </c>
    </row>
    <row r="807" spans="1:11" x14ac:dyDescent="0.35">
      <c r="A807" s="15">
        <v>45840</v>
      </c>
      <c r="B807" s="11" t="s">
        <v>773</v>
      </c>
      <c r="C807" s="19">
        <v>45839</v>
      </c>
      <c r="D807" s="13" t="s">
        <v>778</v>
      </c>
      <c r="E807" s="12">
        <v>400</v>
      </c>
      <c r="F807" s="21" t="s">
        <v>21</v>
      </c>
      <c r="G807" s="21" t="s">
        <v>72</v>
      </c>
      <c r="H807" s="21" t="s">
        <v>73</v>
      </c>
      <c r="I807" s="21" t="s">
        <v>90</v>
      </c>
      <c r="J807" s="68">
        <f>+MONTH(ExpenseTable[[#This Row],[Voucher Date]])</f>
        <v>7</v>
      </c>
      <c r="K807" s="68" t="s">
        <v>238</v>
      </c>
    </row>
    <row r="808" spans="1:11" x14ac:dyDescent="0.35">
      <c r="A808" s="15">
        <v>45841</v>
      </c>
      <c r="B808" s="11" t="s">
        <v>773</v>
      </c>
      <c r="C808" s="19">
        <v>45839</v>
      </c>
      <c r="D808" s="13" t="s">
        <v>639</v>
      </c>
      <c r="E808" s="12">
        <v>1200</v>
      </c>
      <c r="F808" s="21" t="s">
        <v>27</v>
      </c>
      <c r="G808" s="21" t="s">
        <v>72</v>
      </c>
      <c r="H808" s="21" t="s">
        <v>73</v>
      </c>
      <c r="I808" s="21" t="s">
        <v>90</v>
      </c>
      <c r="J808" s="68">
        <f>+MONTH(ExpenseTable[[#This Row],[Voucher Date]])</f>
        <v>7</v>
      </c>
      <c r="K808" s="68" t="s">
        <v>238</v>
      </c>
    </row>
    <row r="809" spans="1:11" x14ac:dyDescent="0.35">
      <c r="A809" s="15">
        <v>45839</v>
      </c>
      <c r="B809" s="11" t="s">
        <v>773</v>
      </c>
      <c r="C809" s="19">
        <v>45839</v>
      </c>
      <c r="D809" s="13" t="s">
        <v>393</v>
      </c>
      <c r="E809" s="12">
        <v>4000</v>
      </c>
      <c r="F809" s="21" t="s">
        <v>37</v>
      </c>
      <c r="G809" s="21" t="s">
        <v>72</v>
      </c>
      <c r="H809" s="21" t="s">
        <v>73</v>
      </c>
      <c r="I809" s="21" t="s">
        <v>90</v>
      </c>
      <c r="J809" s="68">
        <f>+MONTH(ExpenseTable[[#This Row],[Voucher Date]])</f>
        <v>7</v>
      </c>
      <c r="K809" s="68" t="s">
        <v>238</v>
      </c>
    </row>
    <row r="810" spans="1:11" x14ac:dyDescent="0.35">
      <c r="A810" s="15">
        <v>45839</v>
      </c>
      <c r="B810" s="11" t="s">
        <v>773</v>
      </c>
      <c r="C810" s="19">
        <v>45839</v>
      </c>
      <c r="D810" s="13" t="s">
        <v>776</v>
      </c>
      <c r="E810" s="12">
        <v>10000</v>
      </c>
      <c r="F810" s="21" t="s">
        <v>30</v>
      </c>
      <c r="G810" s="21" t="s">
        <v>72</v>
      </c>
      <c r="H810" s="21" t="s">
        <v>73</v>
      </c>
      <c r="I810" s="21" t="s">
        <v>90</v>
      </c>
      <c r="J810" s="68">
        <f>+MONTH(ExpenseTable[[#This Row],[Voucher Date]])</f>
        <v>7</v>
      </c>
      <c r="K810" s="68" t="s">
        <v>238</v>
      </c>
    </row>
    <row r="811" spans="1:11" x14ac:dyDescent="0.35">
      <c r="A811" s="15">
        <v>45839</v>
      </c>
      <c r="B811" s="11" t="s">
        <v>773</v>
      </c>
      <c r="C811" s="19">
        <v>45839</v>
      </c>
      <c r="D811" s="13" t="s">
        <v>772</v>
      </c>
      <c r="E811" s="12">
        <v>12000</v>
      </c>
      <c r="F811" s="21" t="s">
        <v>31</v>
      </c>
      <c r="G811" s="21" t="s">
        <v>72</v>
      </c>
      <c r="H811" s="21" t="s">
        <v>73</v>
      </c>
      <c r="I811" s="21" t="s">
        <v>90</v>
      </c>
      <c r="J811" s="68">
        <f>+MONTH(ExpenseTable[[#This Row],[Voucher Date]])</f>
        <v>7</v>
      </c>
      <c r="K811" s="68" t="s">
        <v>238</v>
      </c>
    </row>
    <row r="812" spans="1:11" x14ac:dyDescent="0.35">
      <c r="A812" s="15">
        <v>45840</v>
      </c>
      <c r="B812" s="11" t="s">
        <v>773</v>
      </c>
      <c r="C812" s="19">
        <v>45839</v>
      </c>
      <c r="D812" s="13" t="s">
        <v>777</v>
      </c>
      <c r="E812" s="12">
        <v>18000</v>
      </c>
      <c r="F812" s="21" t="s">
        <v>27</v>
      </c>
      <c r="G812" s="21" t="s">
        <v>72</v>
      </c>
      <c r="H812" s="21" t="s">
        <v>73</v>
      </c>
      <c r="I812" s="21" t="s">
        <v>90</v>
      </c>
      <c r="J812" s="68">
        <f>+MONTH(ExpenseTable[[#This Row],[Voucher Date]])</f>
        <v>7</v>
      </c>
      <c r="K812" s="68" t="s">
        <v>238</v>
      </c>
    </row>
    <row r="813" spans="1:11" x14ac:dyDescent="0.35">
      <c r="A813" s="15">
        <v>45839</v>
      </c>
      <c r="B813" s="11" t="s">
        <v>773</v>
      </c>
      <c r="C813" s="19">
        <v>45839</v>
      </c>
      <c r="D813" s="13" t="s">
        <v>774</v>
      </c>
      <c r="E813" s="12">
        <v>65000</v>
      </c>
      <c r="F813" s="21" t="s">
        <v>20</v>
      </c>
      <c r="G813" s="21" t="s">
        <v>72</v>
      </c>
      <c r="H813" s="21" t="s">
        <v>73</v>
      </c>
      <c r="I813" s="21" t="s">
        <v>90</v>
      </c>
      <c r="J813" s="68">
        <f>+MONTH(ExpenseTable[[#This Row],[Voucher Date]])</f>
        <v>7</v>
      </c>
      <c r="K813" s="68" t="s">
        <v>238</v>
      </c>
    </row>
    <row r="814" spans="1:11" x14ac:dyDescent="0.35">
      <c r="A814" s="15">
        <v>45839</v>
      </c>
      <c r="B814" s="11" t="s">
        <v>773</v>
      </c>
      <c r="C814" s="19">
        <v>45839</v>
      </c>
      <c r="D814" s="13" t="s">
        <v>775</v>
      </c>
      <c r="E814" s="12">
        <v>80000</v>
      </c>
      <c r="F814" s="21" t="s">
        <v>20</v>
      </c>
      <c r="G814" s="21" t="s">
        <v>72</v>
      </c>
      <c r="H814" s="21" t="s">
        <v>73</v>
      </c>
      <c r="I814" s="21" t="s">
        <v>90</v>
      </c>
      <c r="J814" s="68">
        <f>+MONTH(ExpenseTable[[#This Row],[Voucher Date]])</f>
        <v>7</v>
      </c>
      <c r="K814" s="68" t="s">
        <v>238</v>
      </c>
    </row>
    <row r="815" spans="1:11" x14ac:dyDescent="0.35">
      <c r="A815" s="15">
        <v>45839</v>
      </c>
      <c r="B815" s="11" t="s">
        <v>779</v>
      </c>
      <c r="C815" s="19">
        <v>45839</v>
      </c>
      <c r="D815" s="13" t="s">
        <v>782</v>
      </c>
      <c r="E815" s="12">
        <v>17000</v>
      </c>
      <c r="F815" s="21" t="s">
        <v>54</v>
      </c>
      <c r="G815" s="21" t="s">
        <v>72</v>
      </c>
      <c r="H815" s="21" t="s">
        <v>73</v>
      </c>
      <c r="I815" s="21" t="s">
        <v>91</v>
      </c>
      <c r="J815" s="68">
        <f>+MONTH(ExpenseTable[[#This Row],[Voucher Date]])</f>
        <v>7</v>
      </c>
      <c r="K815" s="68" t="s">
        <v>238</v>
      </c>
    </row>
    <row r="816" spans="1:11" x14ac:dyDescent="0.35">
      <c r="A816" s="15">
        <v>45839</v>
      </c>
      <c r="B816" s="11" t="s">
        <v>779</v>
      </c>
      <c r="C816" s="19">
        <v>45839</v>
      </c>
      <c r="D816" s="13" t="s">
        <v>788</v>
      </c>
      <c r="E816" s="12">
        <v>30000</v>
      </c>
      <c r="F816" s="21" t="s">
        <v>30</v>
      </c>
      <c r="G816" s="21" t="s">
        <v>72</v>
      </c>
      <c r="H816" s="21" t="s">
        <v>73</v>
      </c>
      <c r="I816" s="21" t="s">
        <v>91</v>
      </c>
      <c r="J816" s="68">
        <f>+MONTH(ExpenseTable[[#This Row],[Voucher Date]])</f>
        <v>7</v>
      </c>
      <c r="K816" s="68" t="s">
        <v>238</v>
      </c>
    </row>
    <row r="817" spans="1:11" x14ac:dyDescent="0.35">
      <c r="A817" s="15">
        <v>45839</v>
      </c>
      <c r="B817" s="11" t="s">
        <v>779</v>
      </c>
      <c r="C817" s="19">
        <v>45839</v>
      </c>
      <c r="D817" s="13" t="s">
        <v>780</v>
      </c>
      <c r="E817" s="12">
        <v>57692.31</v>
      </c>
      <c r="F817" s="21" t="s">
        <v>54</v>
      </c>
      <c r="G817" s="21" t="s">
        <v>80</v>
      </c>
      <c r="H817" s="21" t="s">
        <v>81</v>
      </c>
      <c r="I817" s="21" t="s">
        <v>91</v>
      </c>
      <c r="J817" s="68">
        <f>+MONTH(ExpenseTable[[#This Row],[Voucher Date]])</f>
        <v>7</v>
      </c>
      <c r="K817" s="68" t="s">
        <v>238</v>
      </c>
    </row>
    <row r="818" spans="1:11" x14ac:dyDescent="0.35">
      <c r="A818" s="15">
        <v>45839</v>
      </c>
      <c r="B818" s="11" t="s">
        <v>779</v>
      </c>
      <c r="C818" s="19">
        <v>45839</v>
      </c>
      <c r="D818" s="13" t="s">
        <v>786</v>
      </c>
      <c r="E818" s="12">
        <v>60000</v>
      </c>
      <c r="F818" s="21" t="s">
        <v>20</v>
      </c>
      <c r="G818" s="21" t="s">
        <v>72</v>
      </c>
      <c r="H818" s="21" t="s">
        <v>73</v>
      </c>
      <c r="I818" s="21" t="s">
        <v>91</v>
      </c>
      <c r="J818" s="68">
        <f>+MONTH(ExpenseTable[[#This Row],[Voucher Date]])</f>
        <v>7</v>
      </c>
      <c r="K818" s="68" t="s">
        <v>238</v>
      </c>
    </row>
    <row r="819" spans="1:11" x14ac:dyDescent="0.35">
      <c r="A819" s="15">
        <v>45839</v>
      </c>
      <c r="B819" s="11" t="s">
        <v>779</v>
      </c>
      <c r="C819" s="19">
        <v>45839</v>
      </c>
      <c r="D819" s="13" t="s">
        <v>787</v>
      </c>
      <c r="E819" s="12">
        <v>164573.35999999999</v>
      </c>
      <c r="F819" s="21" t="s">
        <v>56</v>
      </c>
      <c r="G819" s="21" t="s">
        <v>72</v>
      </c>
      <c r="H819" s="21" t="s">
        <v>73</v>
      </c>
      <c r="I819" s="21" t="s">
        <v>91</v>
      </c>
      <c r="J819" s="68">
        <f>+MONTH(ExpenseTable[[#This Row],[Voucher Date]])</f>
        <v>7</v>
      </c>
      <c r="K819" s="68" t="s">
        <v>238</v>
      </c>
    </row>
    <row r="820" spans="1:11" x14ac:dyDescent="0.35">
      <c r="A820" s="15">
        <v>45839</v>
      </c>
      <c r="B820" s="11" t="s">
        <v>779</v>
      </c>
      <c r="C820" s="19">
        <v>45839</v>
      </c>
      <c r="D820" s="13" t="s">
        <v>875</v>
      </c>
      <c r="E820" s="12">
        <v>235733.33</v>
      </c>
      <c r="F820" s="21" t="s">
        <v>29</v>
      </c>
      <c r="G820" s="21" t="s">
        <v>72</v>
      </c>
      <c r="H820" s="21" t="s">
        <v>73</v>
      </c>
      <c r="I820" s="21" t="s">
        <v>91</v>
      </c>
      <c r="J820" s="68">
        <f>+MONTH(ExpenseTable[[#This Row],[Voucher Date]])</f>
        <v>7</v>
      </c>
      <c r="K820" s="68" t="s">
        <v>238</v>
      </c>
    </row>
    <row r="821" spans="1:11" x14ac:dyDescent="0.35">
      <c r="A821" s="15">
        <v>45839</v>
      </c>
      <c r="B821" s="11" t="s">
        <v>779</v>
      </c>
      <c r="C821" s="19">
        <v>45839</v>
      </c>
      <c r="D821" s="13" t="s">
        <v>781</v>
      </c>
      <c r="E821" s="12">
        <v>532500.02</v>
      </c>
      <c r="F821" s="21" t="s">
        <v>54</v>
      </c>
      <c r="G821" s="21" t="s">
        <v>67</v>
      </c>
      <c r="H821" s="21" t="s">
        <v>79</v>
      </c>
      <c r="I821" s="21" t="s">
        <v>91</v>
      </c>
      <c r="J821" s="68">
        <f>+MONTH(ExpenseTable[[#This Row],[Voucher Date]])</f>
        <v>7</v>
      </c>
      <c r="K821" s="68" t="s">
        <v>238</v>
      </c>
    </row>
    <row r="822" spans="1:11" x14ac:dyDescent="0.35">
      <c r="A822" s="15">
        <v>45839</v>
      </c>
      <c r="B822" s="11" t="s">
        <v>779</v>
      </c>
      <c r="C822" s="19">
        <v>45839</v>
      </c>
      <c r="D822" s="13" t="s">
        <v>783</v>
      </c>
      <c r="E822" s="12">
        <v>617270.41</v>
      </c>
      <c r="F822" s="21" t="s">
        <v>29</v>
      </c>
      <c r="G822" s="21" t="s">
        <v>72</v>
      </c>
      <c r="H822" s="21" t="s">
        <v>73</v>
      </c>
      <c r="I822" s="21" t="s">
        <v>91</v>
      </c>
      <c r="J822" s="68">
        <f>+MONTH(ExpenseTable[[#This Row],[Voucher Date]])</f>
        <v>7</v>
      </c>
      <c r="K822" s="68" t="s">
        <v>238</v>
      </c>
    </row>
    <row r="823" spans="1:11" x14ac:dyDescent="0.35">
      <c r="A823" s="15">
        <v>45839</v>
      </c>
      <c r="B823" s="11" t="s">
        <v>871</v>
      </c>
      <c r="C823" s="19">
        <v>45839</v>
      </c>
      <c r="D823" s="13" t="s">
        <v>784</v>
      </c>
      <c r="E823" s="12">
        <v>40000</v>
      </c>
      <c r="F823" s="21" t="s">
        <v>30</v>
      </c>
      <c r="G823" s="21" t="s">
        <v>72</v>
      </c>
      <c r="H823" s="21" t="s">
        <v>73</v>
      </c>
      <c r="I823" s="21" t="s">
        <v>91</v>
      </c>
      <c r="J823" s="68">
        <f>+MONTH(ExpenseTable[[#This Row],[Voucher Date]])</f>
        <v>7</v>
      </c>
      <c r="K823" s="68" t="s">
        <v>238</v>
      </c>
    </row>
    <row r="824" spans="1:11" x14ac:dyDescent="0.35">
      <c r="A824" s="15">
        <v>45852</v>
      </c>
      <c r="B824" s="11" t="s">
        <v>871</v>
      </c>
      <c r="C824" s="19">
        <v>45839</v>
      </c>
      <c r="D824" s="13" t="s">
        <v>475</v>
      </c>
      <c r="E824" s="12">
        <v>49000</v>
      </c>
      <c r="F824" s="21" t="s">
        <v>22</v>
      </c>
      <c r="G824" s="21" t="s">
        <v>72</v>
      </c>
      <c r="H824" s="21" t="s">
        <v>73</v>
      </c>
      <c r="I824" s="21" t="s">
        <v>91</v>
      </c>
      <c r="J824" s="68">
        <f>+MONTH(ExpenseTable[[#This Row],[Voucher Date]])</f>
        <v>7</v>
      </c>
      <c r="K824" s="68" t="s">
        <v>238</v>
      </c>
    </row>
    <row r="825" spans="1:11" x14ac:dyDescent="0.35">
      <c r="A825" s="15">
        <v>45849</v>
      </c>
      <c r="B825" s="11" t="s">
        <v>871</v>
      </c>
      <c r="C825" s="19">
        <v>45839</v>
      </c>
      <c r="D825" s="13" t="s">
        <v>793</v>
      </c>
      <c r="E825" s="12">
        <v>50000</v>
      </c>
      <c r="F825" s="21" t="s">
        <v>54</v>
      </c>
      <c r="G825" s="21" t="s">
        <v>67</v>
      </c>
      <c r="H825" s="21" t="s">
        <v>79</v>
      </c>
      <c r="I825" s="21" t="s">
        <v>91</v>
      </c>
      <c r="J825" s="68">
        <f>+MONTH(ExpenseTable[[#This Row],[Voucher Date]])</f>
        <v>7</v>
      </c>
      <c r="K825" s="68" t="s">
        <v>238</v>
      </c>
    </row>
    <row r="826" spans="1:11" x14ac:dyDescent="0.35">
      <c r="A826" s="15">
        <v>45849</v>
      </c>
      <c r="B826" s="11" t="s">
        <v>871</v>
      </c>
      <c r="C826" s="19">
        <v>45839</v>
      </c>
      <c r="D826" s="13" t="s">
        <v>792</v>
      </c>
      <c r="E826" s="12">
        <v>135000</v>
      </c>
      <c r="F826" s="21" t="s">
        <v>5</v>
      </c>
      <c r="G826" s="21" t="s">
        <v>72</v>
      </c>
      <c r="H826" s="21" t="s">
        <v>73</v>
      </c>
      <c r="I826" s="21" t="s">
        <v>91</v>
      </c>
      <c r="J826" s="68">
        <f>+MONTH(ExpenseTable[[#This Row],[Voucher Date]])</f>
        <v>7</v>
      </c>
      <c r="K826" s="68" t="s">
        <v>238</v>
      </c>
    </row>
    <row r="827" spans="1:11" x14ac:dyDescent="0.35">
      <c r="A827" s="15">
        <v>45848</v>
      </c>
      <c r="B827" s="11" t="s">
        <v>871</v>
      </c>
      <c r="C827" s="19">
        <v>45839</v>
      </c>
      <c r="D827" s="13" t="s">
        <v>791</v>
      </c>
      <c r="E827" s="12">
        <v>180000</v>
      </c>
      <c r="F827" s="21" t="s">
        <v>5</v>
      </c>
      <c r="G827" s="21" t="s">
        <v>72</v>
      </c>
      <c r="H827" s="21" t="s">
        <v>73</v>
      </c>
      <c r="I827" s="21" t="s">
        <v>91</v>
      </c>
      <c r="J827" s="68">
        <f>+MONTH(ExpenseTable[[#This Row],[Voucher Date]])</f>
        <v>7</v>
      </c>
      <c r="K827" s="68" t="s">
        <v>238</v>
      </c>
    </row>
    <row r="828" spans="1:11" x14ac:dyDescent="0.35">
      <c r="A828" s="15">
        <v>45839</v>
      </c>
      <c r="B828" s="11" t="s">
        <v>871</v>
      </c>
      <c r="C828" s="19">
        <v>45839</v>
      </c>
      <c r="D828" s="13" t="s">
        <v>785</v>
      </c>
      <c r="E828" s="12">
        <v>297533.33</v>
      </c>
      <c r="F828" s="21" t="s">
        <v>29</v>
      </c>
      <c r="G828" s="21" t="s">
        <v>72</v>
      </c>
      <c r="H828" s="21" t="s">
        <v>73</v>
      </c>
      <c r="I828" s="21" t="s">
        <v>91</v>
      </c>
      <c r="J828" s="68">
        <f>+MONTH(ExpenseTable[[#This Row],[Voucher Date]])</f>
        <v>7</v>
      </c>
      <c r="K828" s="68" t="s">
        <v>238</v>
      </c>
    </row>
    <row r="829" spans="1:11" x14ac:dyDescent="0.35">
      <c r="A829" s="15">
        <v>45849</v>
      </c>
      <c r="B829" s="11" t="s">
        <v>871</v>
      </c>
      <c r="C829" s="19">
        <v>45839</v>
      </c>
      <c r="D829" s="13" t="s">
        <v>789</v>
      </c>
      <c r="E829" s="12">
        <v>800000</v>
      </c>
      <c r="F829" s="21" t="s">
        <v>55</v>
      </c>
      <c r="G829" s="21" t="s">
        <v>72</v>
      </c>
      <c r="H829" s="21" t="s">
        <v>73</v>
      </c>
      <c r="I829" s="21" t="s">
        <v>91</v>
      </c>
      <c r="J829" s="68">
        <f>+MONTH(ExpenseTable[[#This Row],[Voucher Date]])</f>
        <v>7</v>
      </c>
      <c r="K829" s="68" t="s">
        <v>238</v>
      </c>
    </row>
    <row r="830" spans="1:11" x14ac:dyDescent="0.35">
      <c r="A830" s="15">
        <v>45848</v>
      </c>
      <c r="B830" s="11" t="s">
        <v>871</v>
      </c>
      <c r="C830" s="19">
        <v>45839</v>
      </c>
      <c r="D830" s="13" t="s">
        <v>790</v>
      </c>
      <c r="E830" s="12">
        <v>850000</v>
      </c>
      <c r="F830" s="21" t="s">
        <v>50</v>
      </c>
      <c r="G830" s="21" t="s">
        <v>72</v>
      </c>
      <c r="H830" s="21" t="s">
        <v>73</v>
      </c>
      <c r="I830" s="21" t="s">
        <v>91</v>
      </c>
      <c r="J830" s="68">
        <f>+MONTH(ExpenseTable[[#This Row],[Voucher Date]])</f>
        <v>7</v>
      </c>
      <c r="K830" s="68" t="s">
        <v>238</v>
      </c>
    </row>
    <row r="831" spans="1:11" x14ac:dyDescent="0.35">
      <c r="A831" s="15">
        <v>45843</v>
      </c>
      <c r="B831" s="11" t="s">
        <v>794</v>
      </c>
      <c r="C831" s="19">
        <v>45840</v>
      </c>
      <c r="D831" s="13" t="s">
        <v>797</v>
      </c>
      <c r="E831" s="12">
        <v>5000</v>
      </c>
      <c r="F831" s="21" t="s">
        <v>22</v>
      </c>
      <c r="G831" s="21" t="s">
        <v>72</v>
      </c>
      <c r="H831" s="21" t="s">
        <v>73</v>
      </c>
      <c r="I831" s="21" t="s">
        <v>1123</v>
      </c>
      <c r="J831" s="68">
        <f>+MONTH(ExpenseTable[[#This Row],[Voucher Date]])</f>
        <v>7</v>
      </c>
      <c r="K831" s="68" t="s">
        <v>238</v>
      </c>
    </row>
    <row r="832" spans="1:11" x14ac:dyDescent="0.35">
      <c r="A832" s="15">
        <v>45840</v>
      </c>
      <c r="B832" s="11" t="s">
        <v>794</v>
      </c>
      <c r="C832" s="19">
        <v>45840</v>
      </c>
      <c r="D832" s="13" t="s">
        <v>796</v>
      </c>
      <c r="E832" s="12">
        <v>12000</v>
      </c>
      <c r="F832" s="21" t="s">
        <v>54</v>
      </c>
      <c r="G832" s="21" t="s">
        <v>67</v>
      </c>
      <c r="H832" s="21" t="s">
        <v>79</v>
      </c>
      <c r="I832" s="21" t="s">
        <v>1123</v>
      </c>
      <c r="J832" s="68">
        <f>+MONTH(ExpenseTable[[#This Row],[Voucher Date]])</f>
        <v>7</v>
      </c>
      <c r="K832" s="68" t="s">
        <v>238</v>
      </c>
    </row>
    <row r="833" spans="1:11" x14ac:dyDescent="0.35">
      <c r="A833" s="15">
        <v>45843</v>
      </c>
      <c r="B833" s="11" t="s">
        <v>794</v>
      </c>
      <c r="C833" s="19">
        <v>45840</v>
      </c>
      <c r="D833" s="13" t="s">
        <v>189</v>
      </c>
      <c r="E833" s="12">
        <v>30000</v>
      </c>
      <c r="F833" s="21" t="s">
        <v>54</v>
      </c>
      <c r="G833" s="21" t="s">
        <v>67</v>
      </c>
      <c r="H833" s="21" t="s">
        <v>79</v>
      </c>
      <c r="I833" s="21" t="s">
        <v>1123</v>
      </c>
      <c r="J833" s="68">
        <f>+MONTH(ExpenseTable[[#This Row],[Voucher Date]])</f>
        <v>7</v>
      </c>
      <c r="K833" s="68" t="s">
        <v>238</v>
      </c>
    </row>
    <row r="834" spans="1:11" x14ac:dyDescent="0.35">
      <c r="A834" s="15">
        <v>45842</v>
      </c>
      <c r="B834" s="11" t="s">
        <v>794</v>
      </c>
      <c r="C834" s="19">
        <v>45840</v>
      </c>
      <c r="D834" s="13" t="s">
        <v>705</v>
      </c>
      <c r="E834" s="12">
        <v>30012</v>
      </c>
      <c r="F834" s="21" t="s">
        <v>40</v>
      </c>
      <c r="G834" s="21" t="s">
        <v>72</v>
      </c>
      <c r="H834" s="21" t="s">
        <v>73</v>
      </c>
      <c r="I834" s="21" t="s">
        <v>1123</v>
      </c>
      <c r="J834" s="68">
        <f>+MONTH(ExpenseTable[[#This Row],[Voucher Date]])</f>
        <v>7</v>
      </c>
      <c r="K834" s="68" t="s">
        <v>238</v>
      </c>
    </row>
    <row r="835" spans="1:11" x14ac:dyDescent="0.35">
      <c r="A835" s="15">
        <v>45840</v>
      </c>
      <c r="B835" s="11" t="s">
        <v>794</v>
      </c>
      <c r="C835" s="19">
        <v>45840</v>
      </c>
      <c r="D835" s="13" t="s">
        <v>705</v>
      </c>
      <c r="E835" s="12">
        <v>31000</v>
      </c>
      <c r="F835" s="21" t="s">
        <v>40</v>
      </c>
      <c r="G835" s="21" t="s">
        <v>72</v>
      </c>
      <c r="H835" s="21" t="s">
        <v>73</v>
      </c>
      <c r="I835" s="21" t="s">
        <v>1123</v>
      </c>
      <c r="J835" s="68">
        <f>+MONTH(ExpenseTable[[#This Row],[Voucher Date]])</f>
        <v>7</v>
      </c>
      <c r="K835" s="68" t="s">
        <v>238</v>
      </c>
    </row>
    <row r="836" spans="1:11" x14ac:dyDescent="0.35">
      <c r="A836" s="15">
        <v>45840</v>
      </c>
      <c r="B836" s="11" t="s">
        <v>794</v>
      </c>
      <c r="C836" s="19">
        <v>45840</v>
      </c>
      <c r="D836" s="13" t="s">
        <v>577</v>
      </c>
      <c r="E836" s="12">
        <v>105000</v>
      </c>
      <c r="F836" s="21" t="s">
        <v>54</v>
      </c>
      <c r="G836" s="21" t="s">
        <v>80</v>
      </c>
      <c r="H836" s="21" t="s">
        <v>89</v>
      </c>
      <c r="I836" s="21" t="s">
        <v>1123</v>
      </c>
      <c r="J836" s="68">
        <f>+MONTH(ExpenseTable[[#This Row],[Voucher Date]])</f>
        <v>7</v>
      </c>
      <c r="K836" s="68" t="s">
        <v>238</v>
      </c>
    </row>
    <row r="837" spans="1:11" x14ac:dyDescent="0.35">
      <c r="A837" s="15">
        <v>45839</v>
      </c>
      <c r="B837" s="11" t="s">
        <v>794</v>
      </c>
      <c r="C837" s="19">
        <v>45840</v>
      </c>
      <c r="D837" s="13" t="s">
        <v>795</v>
      </c>
      <c r="E837" s="12">
        <v>234000</v>
      </c>
      <c r="F837" s="21" t="s">
        <v>54</v>
      </c>
      <c r="G837" s="21" t="s">
        <v>67</v>
      </c>
      <c r="H837" s="21" t="s">
        <v>79</v>
      </c>
      <c r="I837" s="21" t="s">
        <v>1123</v>
      </c>
      <c r="J837" s="68">
        <f>+MONTH(ExpenseTable[[#This Row],[Voucher Date]])</f>
        <v>7</v>
      </c>
      <c r="K837" s="68" t="s">
        <v>238</v>
      </c>
    </row>
    <row r="838" spans="1:11" x14ac:dyDescent="0.35">
      <c r="A838" s="15">
        <v>45845</v>
      </c>
      <c r="B838" s="11" t="s">
        <v>794</v>
      </c>
      <c r="C838" s="19">
        <v>45840</v>
      </c>
      <c r="D838" s="13" t="s">
        <v>798</v>
      </c>
      <c r="E838" s="12">
        <v>1426500</v>
      </c>
      <c r="F838" s="21" t="s">
        <v>54</v>
      </c>
      <c r="G838" s="21" t="s">
        <v>80</v>
      </c>
      <c r="H838" s="21" t="s">
        <v>89</v>
      </c>
      <c r="I838" s="21" t="s">
        <v>1123</v>
      </c>
      <c r="J838" s="68">
        <f>+MONTH(ExpenseTable[[#This Row],[Voucher Date]])</f>
        <v>7</v>
      </c>
      <c r="K838" s="68" t="s">
        <v>238</v>
      </c>
    </row>
    <row r="839" spans="1:11" x14ac:dyDescent="0.35">
      <c r="A839" s="15">
        <v>45847</v>
      </c>
      <c r="B839" s="11" t="s">
        <v>799</v>
      </c>
      <c r="C839" s="19">
        <v>45842</v>
      </c>
      <c r="D839" s="13" t="s">
        <v>910</v>
      </c>
      <c r="E839" s="12">
        <v>1200</v>
      </c>
      <c r="F839" s="21" t="s">
        <v>22</v>
      </c>
      <c r="G839" s="21" t="s">
        <v>72</v>
      </c>
      <c r="H839" s="21" t="s">
        <v>73</v>
      </c>
      <c r="I839" s="21" t="s">
        <v>90</v>
      </c>
      <c r="J839" s="68">
        <f>+MONTH(ExpenseTable[[#This Row],[Voucher Date]])</f>
        <v>7</v>
      </c>
      <c r="K839" s="13" t="s">
        <v>238</v>
      </c>
    </row>
    <row r="840" spans="1:11" x14ac:dyDescent="0.35">
      <c r="A840" s="15">
        <v>45847</v>
      </c>
      <c r="B840" s="11" t="s">
        <v>799</v>
      </c>
      <c r="C840" s="19">
        <v>45842</v>
      </c>
      <c r="D840" s="13" t="s">
        <v>901</v>
      </c>
      <c r="E840" s="12">
        <v>1700</v>
      </c>
      <c r="F840" s="21" t="s">
        <v>19</v>
      </c>
      <c r="G840" s="21" t="s">
        <v>72</v>
      </c>
      <c r="H840" s="21" t="s">
        <v>73</v>
      </c>
      <c r="I840" s="21" t="s">
        <v>90</v>
      </c>
      <c r="J840" s="68">
        <f>+MONTH(ExpenseTable[[#This Row],[Voucher Date]])</f>
        <v>7</v>
      </c>
      <c r="K840" s="13" t="s">
        <v>238</v>
      </c>
    </row>
    <row r="841" spans="1:11" x14ac:dyDescent="0.35">
      <c r="A841" s="15">
        <v>45847</v>
      </c>
      <c r="B841" s="11" t="s">
        <v>799</v>
      </c>
      <c r="C841" s="19">
        <v>45842</v>
      </c>
      <c r="D841" s="13" t="s">
        <v>911</v>
      </c>
      <c r="E841" s="12">
        <v>5810</v>
      </c>
      <c r="F841" s="21" t="s">
        <v>54</v>
      </c>
      <c r="G841" s="21" t="s">
        <v>80</v>
      </c>
      <c r="H841" s="21" t="s">
        <v>89</v>
      </c>
      <c r="I841" s="21" t="s">
        <v>90</v>
      </c>
      <c r="J841" s="68">
        <f>+MONTH(ExpenseTable[[#This Row],[Voucher Date]])</f>
        <v>7</v>
      </c>
      <c r="K841" s="13" t="s">
        <v>238</v>
      </c>
    </row>
    <row r="842" spans="1:11" x14ac:dyDescent="0.35">
      <c r="A842" s="15">
        <v>45847</v>
      </c>
      <c r="B842" s="11" t="s">
        <v>799</v>
      </c>
      <c r="C842" s="19">
        <v>45842</v>
      </c>
      <c r="D842" s="13" t="s">
        <v>902</v>
      </c>
      <c r="E842" s="12">
        <v>6580</v>
      </c>
      <c r="F842" s="21" t="s">
        <v>37</v>
      </c>
      <c r="G842" s="21" t="s">
        <v>72</v>
      </c>
      <c r="H842" s="21" t="s">
        <v>73</v>
      </c>
      <c r="I842" s="21" t="s">
        <v>90</v>
      </c>
      <c r="J842" s="68">
        <f>+MONTH(ExpenseTable[[#This Row],[Voucher Date]])</f>
        <v>7</v>
      </c>
      <c r="K842" s="13" t="s">
        <v>238</v>
      </c>
    </row>
    <row r="843" spans="1:11" x14ac:dyDescent="0.35">
      <c r="A843" s="15">
        <v>45842</v>
      </c>
      <c r="B843" s="11" t="s">
        <v>799</v>
      </c>
      <c r="C843" s="19">
        <v>45842</v>
      </c>
      <c r="D843" s="13" t="s">
        <v>909</v>
      </c>
      <c r="E843" s="12">
        <v>14000</v>
      </c>
      <c r="F843" s="21" t="s">
        <v>54</v>
      </c>
      <c r="G843" s="21" t="s">
        <v>80</v>
      </c>
      <c r="H843" s="21" t="s">
        <v>89</v>
      </c>
      <c r="I843" s="21" t="s">
        <v>90</v>
      </c>
      <c r="J843" s="68">
        <f>+MONTH(ExpenseTable[[#This Row],[Voucher Date]])</f>
        <v>7</v>
      </c>
      <c r="K843" s="13" t="s">
        <v>238</v>
      </c>
    </row>
    <row r="844" spans="1:11" x14ac:dyDescent="0.35">
      <c r="A844" s="72">
        <v>45842</v>
      </c>
      <c r="B844" s="73" t="s">
        <v>799</v>
      </c>
      <c r="C844" s="74">
        <v>45842</v>
      </c>
      <c r="D844" s="13" t="s">
        <v>912</v>
      </c>
      <c r="E844" s="75">
        <v>30000</v>
      </c>
      <c r="F844" s="69" t="s">
        <v>22</v>
      </c>
      <c r="G844" s="21" t="s">
        <v>72</v>
      </c>
      <c r="H844" s="69" t="s">
        <v>73</v>
      </c>
      <c r="I844" s="69" t="s">
        <v>90</v>
      </c>
      <c r="J844" s="68">
        <f>+MONTH(ExpenseTable[[#This Row],[Voucher Date]])</f>
        <v>7</v>
      </c>
      <c r="K844" s="13" t="s">
        <v>238</v>
      </c>
    </row>
    <row r="845" spans="1:11" x14ac:dyDescent="0.35">
      <c r="A845" s="15">
        <v>45848</v>
      </c>
      <c r="B845" s="11" t="s">
        <v>799</v>
      </c>
      <c r="C845" s="19">
        <v>45842</v>
      </c>
      <c r="D845" s="13" t="s">
        <v>903</v>
      </c>
      <c r="E845" s="12">
        <v>40000</v>
      </c>
      <c r="F845" s="21" t="s">
        <v>54</v>
      </c>
      <c r="G845" s="21" t="s">
        <v>67</v>
      </c>
      <c r="H845" s="21" t="s">
        <v>79</v>
      </c>
      <c r="I845" s="21" t="s">
        <v>90</v>
      </c>
      <c r="J845" s="68">
        <f>+MONTH(ExpenseTable[[#This Row],[Voucher Date]])</f>
        <v>7</v>
      </c>
      <c r="K845" s="13" t="s">
        <v>238</v>
      </c>
    </row>
    <row r="846" spans="1:11" x14ac:dyDescent="0.35">
      <c r="A846" s="15">
        <v>45847</v>
      </c>
      <c r="B846" s="11" t="s">
        <v>799</v>
      </c>
      <c r="C846" s="19">
        <v>45842</v>
      </c>
      <c r="D846" s="13" t="s">
        <v>288</v>
      </c>
      <c r="E846" s="12">
        <v>50000</v>
      </c>
      <c r="F846" s="21" t="s">
        <v>26</v>
      </c>
      <c r="G846" s="21" t="s">
        <v>72</v>
      </c>
      <c r="H846" s="21" t="s">
        <v>73</v>
      </c>
      <c r="I846" s="21" t="s">
        <v>90</v>
      </c>
      <c r="J846" s="68">
        <f>+MONTH(ExpenseTable[[#This Row],[Voucher Date]])</f>
        <v>7</v>
      </c>
      <c r="K846" s="13" t="s">
        <v>238</v>
      </c>
    </row>
    <row r="847" spans="1:11" x14ac:dyDescent="0.35">
      <c r="A847" s="15">
        <v>45849</v>
      </c>
      <c r="B847" s="11" t="s">
        <v>904</v>
      </c>
      <c r="C847" s="19">
        <v>45842</v>
      </c>
      <c r="D847" s="13" t="s">
        <v>157</v>
      </c>
      <c r="E847" s="12">
        <v>1200</v>
      </c>
      <c r="F847" s="21" t="s">
        <v>21</v>
      </c>
      <c r="G847" s="21" t="s">
        <v>72</v>
      </c>
      <c r="H847" s="21" t="s">
        <v>73</v>
      </c>
      <c r="I847" s="21" t="s">
        <v>90</v>
      </c>
      <c r="J847" s="68">
        <f>+MONTH(ExpenseTable[[#This Row],[Voucher Date]])</f>
        <v>7</v>
      </c>
      <c r="K847" s="13" t="s">
        <v>238</v>
      </c>
    </row>
    <row r="848" spans="1:11" x14ac:dyDescent="0.35">
      <c r="A848" s="15">
        <v>45847</v>
      </c>
      <c r="B848" s="11" t="s">
        <v>904</v>
      </c>
      <c r="C848" s="19">
        <v>45842</v>
      </c>
      <c r="D848" s="13" t="s">
        <v>157</v>
      </c>
      <c r="E848" s="12">
        <v>3600</v>
      </c>
      <c r="F848" s="21" t="s">
        <v>21</v>
      </c>
      <c r="G848" s="21" t="s">
        <v>72</v>
      </c>
      <c r="H848" s="21" t="s">
        <v>73</v>
      </c>
      <c r="I848" s="21" t="s">
        <v>90</v>
      </c>
      <c r="J848" s="68">
        <f>+MONTH(ExpenseTable[[#This Row],[Voucher Date]])</f>
        <v>7</v>
      </c>
      <c r="K848" s="13" t="s">
        <v>238</v>
      </c>
    </row>
    <row r="849" spans="1:11" x14ac:dyDescent="0.35">
      <c r="A849" s="15">
        <v>45853</v>
      </c>
      <c r="B849" s="11" t="s">
        <v>904</v>
      </c>
      <c r="C849" s="19">
        <v>45842</v>
      </c>
      <c r="D849" s="13" t="s">
        <v>908</v>
      </c>
      <c r="E849" s="12">
        <v>10000</v>
      </c>
      <c r="F849" s="21" t="s">
        <v>26</v>
      </c>
      <c r="G849" s="21" t="s">
        <v>72</v>
      </c>
      <c r="H849" s="21" t="s">
        <v>73</v>
      </c>
      <c r="I849" s="21" t="s">
        <v>90</v>
      </c>
      <c r="J849" s="68">
        <f>+MONTH(ExpenseTable[[#This Row],[Voucher Date]])</f>
        <v>7</v>
      </c>
      <c r="K849" s="13" t="s">
        <v>238</v>
      </c>
    </row>
    <row r="850" spans="1:11" x14ac:dyDescent="0.35">
      <c r="A850" s="15">
        <v>45842</v>
      </c>
      <c r="B850" s="11" t="s">
        <v>904</v>
      </c>
      <c r="C850" s="19">
        <v>45842</v>
      </c>
      <c r="D850" s="13" t="s">
        <v>224</v>
      </c>
      <c r="E850" s="12">
        <v>15200</v>
      </c>
      <c r="F850" s="21" t="s">
        <v>32</v>
      </c>
      <c r="G850" s="21" t="s">
        <v>72</v>
      </c>
      <c r="H850" s="21" t="s">
        <v>73</v>
      </c>
      <c r="I850" s="21" t="s">
        <v>90</v>
      </c>
      <c r="J850" s="68">
        <f>+MONTH(ExpenseTable[[#This Row],[Voucher Date]])</f>
        <v>7</v>
      </c>
      <c r="K850" s="13" t="s">
        <v>238</v>
      </c>
    </row>
    <row r="851" spans="1:11" x14ac:dyDescent="0.35">
      <c r="A851" s="15">
        <v>45853</v>
      </c>
      <c r="B851" s="11" t="s">
        <v>904</v>
      </c>
      <c r="C851" s="19">
        <v>45842</v>
      </c>
      <c r="D851" s="13" t="s">
        <v>907</v>
      </c>
      <c r="E851" s="12">
        <v>59000</v>
      </c>
      <c r="F851" s="21" t="s">
        <v>40</v>
      </c>
      <c r="G851" s="21" t="s">
        <v>72</v>
      </c>
      <c r="H851" s="21" t="s">
        <v>73</v>
      </c>
      <c r="I851" s="21" t="s">
        <v>90</v>
      </c>
      <c r="J851" s="68">
        <f>+MONTH(ExpenseTable[[#This Row],[Voucher Date]])</f>
        <v>7</v>
      </c>
      <c r="K851" s="13" t="s">
        <v>238</v>
      </c>
    </row>
    <row r="852" spans="1:11" x14ac:dyDescent="0.35">
      <c r="A852" s="15">
        <v>45842</v>
      </c>
      <c r="B852" s="11" t="s">
        <v>904</v>
      </c>
      <c r="C852" s="19">
        <v>45842</v>
      </c>
      <c r="D852" s="13" t="s">
        <v>906</v>
      </c>
      <c r="E852" s="12">
        <v>64000</v>
      </c>
      <c r="F852" s="21" t="s">
        <v>25</v>
      </c>
      <c r="G852" s="21" t="s">
        <v>72</v>
      </c>
      <c r="H852" s="21" t="s">
        <v>73</v>
      </c>
      <c r="I852" s="21" t="s">
        <v>90</v>
      </c>
      <c r="J852" s="68">
        <f>+MONTH(ExpenseTable[[#This Row],[Voucher Date]])</f>
        <v>7</v>
      </c>
      <c r="K852" s="13" t="s">
        <v>238</v>
      </c>
    </row>
    <row r="853" spans="1:11" x14ac:dyDescent="0.35">
      <c r="A853" s="15">
        <v>45842</v>
      </c>
      <c r="B853" s="11" t="s">
        <v>904</v>
      </c>
      <c r="C853" s="19">
        <v>45842</v>
      </c>
      <c r="D853" s="13" t="s">
        <v>905</v>
      </c>
      <c r="E853" s="12">
        <v>80000</v>
      </c>
      <c r="F853" s="21" t="s">
        <v>22</v>
      </c>
      <c r="G853" s="21" t="s">
        <v>72</v>
      </c>
      <c r="H853" s="21" t="s">
        <v>73</v>
      </c>
      <c r="I853" s="21" t="s">
        <v>90</v>
      </c>
      <c r="J853" s="68">
        <f>+MONTH(ExpenseTable[[#This Row],[Voucher Date]])</f>
        <v>7</v>
      </c>
      <c r="K853" s="13" t="s">
        <v>238</v>
      </c>
    </row>
    <row r="854" spans="1:11" x14ac:dyDescent="0.35">
      <c r="A854" s="15">
        <v>45852</v>
      </c>
      <c r="B854" s="11" t="s">
        <v>904</v>
      </c>
      <c r="C854" s="19">
        <v>45842</v>
      </c>
      <c r="D854" s="13" t="s">
        <v>539</v>
      </c>
      <c r="E854" s="12">
        <v>130000</v>
      </c>
      <c r="F854" s="21" t="s">
        <v>22</v>
      </c>
      <c r="G854" s="21" t="s">
        <v>72</v>
      </c>
      <c r="H854" s="21" t="s">
        <v>73</v>
      </c>
      <c r="I854" s="21" t="s">
        <v>90</v>
      </c>
      <c r="J854" s="68">
        <f>+MONTH(ExpenseTable[[#This Row],[Voucher Date]])</f>
        <v>7</v>
      </c>
      <c r="K854" s="13" t="s">
        <v>238</v>
      </c>
    </row>
    <row r="855" spans="1:11" x14ac:dyDescent="0.35">
      <c r="A855" s="15">
        <v>45845</v>
      </c>
      <c r="B855" s="11" t="s">
        <v>801</v>
      </c>
      <c r="C855" s="19">
        <v>45845</v>
      </c>
      <c r="D855" s="13" t="s">
        <v>802</v>
      </c>
      <c r="E855" s="12">
        <v>10000</v>
      </c>
      <c r="F855" s="21" t="s">
        <v>31</v>
      </c>
      <c r="G855" s="21" t="s">
        <v>72</v>
      </c>
      <c r="H855" s="21" t="s">
        <v>73</v>
      </c>
      <c r="I855" s="21" t="s">
        <v>1123</v>
      </c>
      <c r="J855" s="68">
        <f>+MONTH(ExpenseTable[[#This Row],[Voucher Date]])</f>
        <v>7</v>
      </c>
      <c r="K855" s="68" t="s">
        <v>238</v>
      </c>
    </row>
    <row r="856" spans="1:11" x14ac:dyDescent="0.35">
      <c r="A856" s="15">
        <v>45849</v>
      </c>
      <c r="B856" s="11" t="s">
        <v>801</v>
      </c>
      <c r="C856" s="19">
        <v>45845</v>
      </c>
      <c r="D856" s="13" t="s">
        <v>302</v>
      </c>
      <c r="E856" s="12">
        <v>10000</v>
      </c>
      <c r="F856" s="21" t="s">
        <v>5</v>
      </c>
      <c r="G856" s="21" t="s">
        <v>72</v>
      </c>
      <c r="H856" s="21" t="s">
        <v>73</v>
      </c>
      <c r="I856" s="21" t="s">
        <v>1123</v>
      </c>
      <c r="J856" s="68">
        <f>+MONTH(ExpenseTable[[#This Row],[Voucher Date]])</f>
        <v>7</v>
      </c>
      <c r="K856" s="68" t="s">
        <v>238</v>
      </c>
    </row>
    <row r="857" spans="1:11" x14ac:dyDescent="0.35">
      <c r="A857" s="15">
        <v>45849</v>
      </c>
      <c r="B857" s="11" t="s">
        <v>801</v>
      </c>
      <c r="C857" s="19">
        <v>45845</v>
      </c>
      <c r="D857" s="13" t="s">
        <v>725</v>
      </c>
      <c r="E857" s="12">
        <v>15000</v>
      </c>
      <c r="F857" s="21" t="s">
        <v>54</v>
      </c>
      <c r="G857" s="21" t="s">
        <v>67</v>
      </c>
      <c r="H857" s="21" t="s">
        <v>79</v>
      </c>
      <c r="I857" s="21" t="s">
        <v>1123</v>
      </c>
      <c r="J857" s="68">
        <f>+MONTH(ExpenseTable[[#This Row],[Voucher Date]])</f>
        <v>7</v>
      </c>
      <c r="K857" s="68" t="s">
        <v>238</v>
      </c>
    </row>
    <row r="858" spans="1:11" x14ac:dyDescent="0.35">
      <c r="A858" s="15">
        <v>45848</v>
      </c>
      <c r="B858" s="11" t="s">
        <v>801</v>
      </c>
      <c r="C858" s="19">
        <v>45845</v>
      </c>
      <c r="D858" s="13" t="s">
        <v>189</v>
      </c>
      <c r="E858" s="12">
        <v>40000</v>
      </c>
      <c r="F858" s="21" t="s">
        <v>40</v>
      </c>
      <c r="G858" s="21" t="s">
        <v>72</v>
      </c>
      <c r="H858" s="21" t="s">
        <v>73</v>
      </c>
      <c r="I858" s="21" t="s">
        <v>1123</v>
      </c>
      <c r="J858" s="68">
        <f>+MONTH(ExpenseTable[[#This Row],[Voucher Date]])</f>
        <v>7</v>
      </c>
      <c r="K858" s="68" t="s">
        <v>238</v>
      </c>
    </row>
    <row r="859" spans="1:11" x14ac:dyDescent="0.35">
      <c r="A859" s="15">
        <v>45848</v>
      </c>
      <c r="B859" s="11" t="s">
        <v>801</v>
      </c>
      <c r="C859" s="19">
        <v>45845</v>
      </c>
      <c r="D859" s="13" t="s">
        <v>806</v>
      </c>
      <c r="E859" s="12">
        <v>44000</v>
      </c>
      <c r="F859" s="21" t="s">
        <v>54</v>
      </c>
      <c r="G859" s="21" t="s">
        <v>80</v>
      </c>
      <c r="H859" s="21" t="s">
        <v>89</v>
      </c>
      <c r="I859" s="21" t="s">
        <v>1123</v>
      </c>
      <c r="J859" s="68">
        <f>+MONTH(ExpenseTable[[#This Row],[Voucher Date]])</f>
        <v>7</v>
      </c>
      <c r="K859" s="68" t="s">
        <v>238</v>
      </c>
    </row>
    <row r="860" spans="1:11" x14ac:dyDescent="0.35">
      <c r="A860" s="15">
        <v>45846</v>
      </c>
      <c r="B860" s="11" t="s">
        <v>801</v>
      </c>
      <c r="C860" s="19">
        <v>45845</v>
      </c>
      <c r="D860" s="13" t="s">
        <v>803</v>
      </c>
      <c r="E860" s="12">
        <v>52000</v>
      </c>
      <c r="F860" s="21" t="s">
        <v>22</v>
      </c>
      <c r="G860" s="21" t="s">
        <v>72</v>
      </c>
      <c r="H860" s="21" t="s">
        <v>73</v>
      </c>
      <c r="I860" s="21" t="s">
        <v>1123</v>
      </c>
      <c r="J860" s="68">
        <f>+MONTH(ExpenseTable[[#This Row],[Voucher Date]])</f>
        <v>7</v>
      </c>
      <c r="K860" s="68" t="s">
        <v>238</v>
      </c>
    </row>
    <row r="861" spans="1:11" x14ac:dyDescent="0.35">
      <c r="A861" s="15">
        <v>45846</v>
      </c>
      <c r="B861" s="11" t="s">
        <v>801</v>
      </c>
      <c r="C861" s="19">
        <v>45845</v>
      </c>
      <c r="D861" s="13" t="s">
        <v>804</v>
      </c>
      <c r="E861" s="12">
        <v>102400</v>
      </c>
      <c r="F861" s="21" t="s">
        <v>5</v>
      </c>
      <c r="G861" s="21" t="s">
        <v>72</v>
      </c>
      <c r="H861" s="21" t="s">
        <v>73</v>
      </c>
      <c r="I861" s="21" t="s">
        <v>1123</v>
      </c>
      <c r="J861" s="68">
        <f>+MONTH(ExpenseTable[[#This Row],[Voucher Date]])</f>
        <v>7</v>
      </c>
      <c r="K861" s="68" t="s">
        <v>238</v>
      </c>
    </row>
    <row r="862" spans="1:11" x14ac:dyDescent="0.35">
      <c r="A862" s="15">
        <v>45848</v>
      </c>
      <c r="B862" s="11" t="s">
        <v>801</v>
      </c>
      <c r="C862" s="19">
        <v>45845</v>
      </c>
      <c r="D862" s="13" t="s">
        <v>805</v>
      </c>
      <c r="E862" s="12">
        <v>200000</v>
      </c>
      <c r="F862" s="21" t="s">
        <v>54</v>
      </c>
      <c r="G862" s="21" t="s">
        <v>80</v>
      </c>
      <c r="H862" s="21" t="s">
        <v>89</v>
      </c>
      <c r="I862" s="21" t="s">
        <v>1123</v>
      </c>
      <c r="J862" s="68">
        <f>+MONTH(ExpenseTable[[#This Row],[Voucher Date]])</f>
        <v>7</v>
      </c>
      <c r="K862" s="68" t="s">
        <v>238</v>
      </c>
    </row>
    <row r="863" spans="1:11" x14ac:dyDescent="0.35">
      <c r="A863" s="15">
        <v>45850</v>
      </c>
      <c r="B863" s="11" t="s">
        <v>807</v>
      </c>
      <c r="C863" s="19">
        <v>45847</v>
      </c>
      <c r="D863" s="13" t="s">
        <v>809</v>
      </c>
      <c r="E863" s="12">
        <v>4000</v>
      </c>
      <c r="F863" s="21" t="s">
        <v>54</v>
      </c>
      <c r="G863" s="21" t="s">
        <v>80</v>
      </c>
      <c r="H863" s="21" t="s">
        <v>89</v>
      </c>
      <c r="I863" s="21" t="s">
        <v>1123</v>
      </c>
      <c r="J863" s="68">
        <f>+MONTH(ExpenseTable[[#This Row],[Voucher Date]])</f>
        <v>7</v>
      </c>
      <c r="K863" s="68" t="s">
        <v>238</v>
      </c>
    </row>
    <row r="864" spans="1:11" x14ac:dyDescent="0.35">
      <c r="A864" s="15">
        <v>45849</v>
      </c>
      <c r="B864" s="11" t="s">
        <v>807</v>
      </c>
      <c r="C864" s="19">
        <v>45847</v>
      </c>
      <c r="D864" s="13" t="s">
        <v>756</v>
      </c>
      <c r="E864" s="12">
        <v>15000</v>
      </c>
      <c r="F864" s="21" t="s">
        <v>54</v>
      </c>
      <c r="G864" s="21" t="s">
        <v>67</v>
      </c>
      <c r="H864" s="21" t="s">
        <v>79</v>
      </c>
      <c r="I864" s="21" t="s">
        <v>1123</v>
      </c>
      <c r="J864" s="68">
        <f>+MONTH(ExpenseTable[[#This Row],[Voucher Date]])</f>
        <v>7</v>
      </c>
      <c r="K864" s="68" t="s">
        <v>238</v>
      </c>
    </row>
    <row r="865" spans="1:11" x14ac:dyDescent="0.35">
      <c r="A865" s="15">
        <v>45852</v>
      </c>
      <c r="B865" s="11" t="s">
        <v>807</v>
      </c>
      <c r="C865" s="19">
        <v>45847</v>
      </c>
      <c r="D865" s="13" t="s">
        <v>810</v>
      </c>
      <c r="E865" s="12">
        <v>20000</v>
      </c>
      <c r="F865" s="21" t="s">
        <v>22</v>
      </c>
      <c r="G865" s="21" t="s">
        <v>72</v>
      </c>
      <c r="H865" s="21" t="s">
        <v>73</v>
      </c>
      <c r="I865" s="21" t="s">
        <v>1123</v>
      </c>
      <c r="J865" s="68">
        <f>+MONTH(ExpenseTable[[#This Row],[Voucher Date]])</f>
        <v>7</v>
      </c>
      <c r="K865" s="68" t="s">
        <v>238</v>
      </c>
    </row>
    <row r="866" spans="1:11" x14ac:dyDescent="0.35">
      <c r="A866" s="15">
        <v>45848</v>
      </c>
      <c r="B866" s="11" t="s">
        <v>807</v>
      </c>
      <c r="C866" s="19">
        <v>45847</v>
      </c>
      <c r="D866" s="13" t="s">
        <v>705</v>
      </c>
      <c r="E866" s="12">
        <v>40000</v>
      </c>
      <c r="F866" s="21" t="s">
        <v>40</v>
      </c>
      <c r="G866" s="21" t="s">
        <v>72</v>
      </c>
      <c r="H866" s="21" t="s">
        <v>73</v>
      </c>
      <c r="I866" s="21" t="s">
        <v>1123</v>
      </c>
      <c r="J866" s="68">
        <f>+MONTH(ExpenseTable[[#This Row],[Voucher Date]])</f>
        <v>7</v>
      </c>
      <c r="K866" s="68" t="s">
        <v>238</v>
      </c>
    </row>
    <row r="867" spans="1:11" x14ac:dyDescent="0.35">
      <c r="A867" s="15">
        <v>45849</v>
      </c>
      <c r="B867" s="11" t="s">
        <v>807</v>
      </c>
      <c r="C867" s="19">
        <v>45847</v>
      </c>
      <c r="D867" s="13" t="s">
        <v>808</v>
      </c>
      <c r="E867" s="12">
        <v>60000</v>
      </c>
      <c r="F867" s="21" t="s">
        <v>54</v>
      </c>
      <c r="G867" s="21" t="s">
        <v>67</v>
      </c>
      <c r="H867" s="21" t="s">
        <v>79</v>
      </c>
      <c r="I867" s="21" t="s">
        <v>1123</v>
      </c>
      <c r="J867" s="68">
        <f>+MONTH(ExpenseTable[[#This Row],[Voucher Date]])</f>
        <v>7</v>
      </c>
      <c r="K867" s="68" t="s">
        <v>238</v>
      </c>
    </row>
    <row r="868" spans="1:11" x14ac:dyDescent="0.35">
      <c r="A868" s="15">
        <v>45847</v>
      </c>
      <c r="B868" s="11" t="s">
        <v>807</v>
      </c>
      <c r="C868" s="19">
        <v>45847</v>
      </c>
      <c r="D868" s="13" t="s">
        <v>189</v>
      </c>
      <c r="E868" s="12">
        <v>77000</v>
      </c>
      <c r="F868" s="21" t="s">
        <v>40</v>
      </c>
      <c r="G868" s="21" t="s">
        <v>72</v>
      </c>
      <c r="H868" s="21" t="s">
        <v>73</v>
      </c>
      <c r="I868" s="21" t="s">
        <v>1123</v>
      </c>
      <c r="J868" s="68">
        <f>+MONTH(ExpenseTable[[#This Row],[Voucher Date]])</f>
        <v>7</v>
      </c>
      <c r="K868" s="68" t="s">
        <v>238</v>
      </c>
    </row>
    <row r="869" spans="1:11" x14ac:dyDescent="0.35">
      <c r="A869" s="15">
        <v>45853</v>
      </c>
      <c r="B869" s="11" t="s">
        <v>807</v>
      </c>
      <c r="C869" s="19">
        <v>45847</v>
      </c>
      <c r="D869" s="13" t="s">
        <v>811</v>
      </c>
      <c r="E869" s="12">
        <v>117500</v>
      </c>
      <c r="F869" s="21" t="s">
        <v>54</v>
      </c>
      <c r="G869" s="21" t="s">
        <v>80</v>
      </c>
      <c r="H869" s="21" t="s">
        <v>89</v>
      </c>
      <c r="I869" s="21" t="s">
        <v>1123</v>
      </c>
      <c r="J869" s="68">
        <f>+MONTH(ExpenseTable[[#This Row],[Voucher Date]])</f>
        <v>7</v>
      </c>
      <c r="K869" s="68" t="s">
        <v>238</v>
      </c>
    </row>
    <row r="870" spans="1:11" x14ac:dyDescent="0.35">
      <c r="A870" s="15">
        <v>45852</v>
      </c>
      <c r="B870" s="11" t="s">
        <v>812</v>
      </c>
      <c r="C870" s="19">
        <v>45849</v>
      </c>
      <c r="D870" s="13" t="s">
        <v>550</v>
      </c>
      <c r="E870" s="12">
        <v>2000</v>
      </c>
      <c r="F870" s="21" t="s">
        <v>21</v>
      </c>
      <c r="G870" s="21" t="s">
        <v>72</v>
      </c>
      <c r="H870" s="21" t="s">
        <v>73</v>
      </c>
      <c r="I870" s="21" t="s">
        <v>90</v>
      </c>
      <c r="J870" s="68">
        <f>+MONTH(ExpenseTable[[#This Row],[Voucher Date]])</f>
        <v>7</v>
      </c>
      <c r="K870" s="13" t="s">
        <v>238</v>
      </c>
    </row>
    <row r="871" spans="1:11" x14ac:dyDescent="0.35">
      <c r="A871" s="15">
        <v>45849</v>
      </c>
      <c r="B871" s="11" t="s">
        <v>812</v>
      </c>
      <c r="C871" s="19">
        <v>45849</v>
      </c>
      <c r="D871" s="13" t="s">
        <v>814</v>
      </c>
      <c r="E871" s="12">
        <v>3700</v>
      </c>
      <c r="F871" s="21" t="s">
        <v>37</v>
      </c>
      <c r="G871" s="21" t="s">
        <v>72</v>
      </c>
      <c r="H871" s="21" t="s">
        <v>73</v>
      </c>
      <c r="I871" s="21" t="s">
        <v>90</v>
      </c>
      <c r="J871" s="68">
        <f>+MONTH(ExpenseTable[[#This Row],[Voucher Date]])</f>
        <v>7</v>
      </c>
      <c r="K871" s="13" t="s">
        <v>238</v>
      </c>
    </row>
    <row r="872" spans="1:11" x14ac:dyDescent="0.35">
      <c r="A872" s="15">
        <v>45852</v>
      </c>
      <c r="B872" s="11" t="s">
        <v>812</v>
      </c>
      <c r="C872" s="19">
        <v>45849</v>
      </c>
      <c r="D872" s="13" t="s">
        <v>816</v>
      </c>
      <c r="E872" s="12">
        <v>9000</v>
      </c>
      <c r="F872" s="21" t="s">
        <v>54</v>
      </c>
      <c r="G872" s="21" t="s">
        <v>80</v>
      </c>
      <c r="H872" s="21" t="s">
        <v>89</v>
      </c>
      <c r="I872" s="21" t="s">
        <v>90</v>
      </c>
      <c r="J872" s="68">
        <f>+MONTH(ExpenseTable[[#This Row],[Voucher Date]])</f>
        <v>7</v>
      </c>
      <c r="K872" s="13" t="s">
        <v>238</v>
      </c>
    </row>
    <row r="873" spans="1:11" x14ac:dyDescent="0.35">
      <c r="A873" s="15">
        <v>45852</v>
      </c>
      <c r="B873" s="11" t="s">
        <v>812</v>
      </c>
      <c r="C873" s="19">
        <v>45849</v>
      </c>
      <c r="D873" s="13" t="s">
        <v>818</v>
      </c>
      <c r="E873" s="12">
        <v>20000</v>
      </c>
      <c r="F873" s="21" t="s">
        <v>5</v>
      </c>
      <c r="G873" s="21" t="s">
        <v>72</v>
      </c>
      <c r="H873" s="21" t="s">
        <v>73</v>
      </c>
      <c r="I873" s="21" t="s">
        <v>90</v>
      </c>
      <c r="J873" s="68">
        <f>+MONTH(ExpenseTable[[#This Row],[Voucher Date]])</f>
        <v>7</v>
      </c>
      <c r="K873" s="13" t="s">
        <v>238</v>
      </c>
    </row>
    <row r="874" spans="1:11" x14ac:dyDescent="0.35">
      <c r="A874" s="15">
        <v>45849</v>
      </c>
      <c r="B874" s="11" t="s">
        <v>812</v>
      </c>
      <c r="C874" s="19">
        <v>45849</v>
      </c>
      <c r="D874" s="13" t="s">
        <v>815</v>
      </c>
      <c r="E874" s="12">
        <v>68000</v>
      </c>
      <c r="F874" s="21" t="s">
        <v>37</v>
      </c>
      <c r="G874" s="21" t="s">
        <v>72</v>
      </c>
      <c r="H874" s="21" t="s">
        <v>73</v>
      </c>
      <c r="I874" s="21" t="s">
        <v>90</v>
      </c>
      <c r="J874" s="68">
        <f>+MONTH(ExpenseTable[[#This Row],[Voucher Date]])</f>
        <v>7</v>
      </c>
      <c r="K874" s="13" t="s">
        <v>238</v>
      </c>
    </row>
    <row r="875" spans="1:11" x14ac:dyDescent="0.35">
      <c r="A875" s="15">
        <v>45849</v>
      </c>
      <c r="B875" s="11" t="s">
        <v>812</v>
      </c>
      <c r="C875" s="19">
        <v>45849</v>
      </c>
      <c r="D875" s="13" t="s">
        <v>813</v>
      </c>
      <c r="E875" s="12">
        <v>89000</v>
      </c>
      <c r="F875" s="21" t="s">
        <v>5</v>
      </c>
      <c r="G875" s="21" t="s">
        <v>72</v>
      </c>
      <c r="H875" s="21" t="s">
        <v>73</v>
      </c>
      <c r="I875" s="21" t="s">
        <v>90</v>
      </c>
      <c r="J875" s="68">
        <f>+MONTH(ExpenseTable[[#This Row],[Voucher Date]])</f>
        <v>7</v>
      </c>
      <c r="K875" s="13" t="s">
        <v>238</v>
      </c>
    </row>
    <row r="876" spans="1:11" x14ac:dyDescent="0.35">
      <c r="A876" s="15">
        <v>45852</v>
      </c>
      <c r="B876" s="11" t="s">
        <v>812</v>
      </c>
      <c r="C876" s="19">
        <v>45849</v>
      </c>
      <c r="D876" s="13" t="s">
        <v>817</v>
      </c>
      <c r="E876" s="12">
        <v>100000</v>
      </c>
      <c r="F876" s="21" t="s">
        <v>5</v>
      </c>
      <c r="G876" s="21" t="s">
        <v>72</v>
      </c>
      <c r="H876" s="21" t="s">
        <v>73</v>
      </c>
      <c r="I876" s="21" t="s">
        <v>90</v>
      </c>
      <c r="J876" s="68">
        <f>+MONTH(ExpenseTable[[#This Row],[Voucher Date]])</f>
        <v>7</v>
      </c>
      <c r="K876" s="13" t="s">
        <v>238</v>
      </c>
    </row>
    <row r="877" spans="1:11" x14ac:dyDescent="0.35">
      <c r="A877" s="15">
        <v>45843</v>
      </c>
      <c r="B877" s="11" t="s">
        <v>819</v>
      </c>
      <c r="C877" s="19">
        <v>45853</v>
      </c>
      <c r="D877" s="13" t="s">
        <v>820</v>
      </c>
      <c r="E877" s="12">
        <v>1500</v>
      </c>
      <c r="F877" s="21" t="s">
        <v>5</v>
      </c>
      <c r="G877" s="21" t="s">
        <v>80</v>
      </c>
      <c r="H877" s="21" t="s">
        <v>89</v>
      </c>
      <c r="I877" s="21" t="s">
        <v>90</v>
      </c>
      <c r="J877" s="68">
        <f>+MONTH(ExpenseTable[[#This Row],[Voucher Date]])</f>
        <v>7</v>
      </c>
      <c r="K877" s="13" t="s">
        <v>238</v>
      </c>
    </row>
    <row r="878" spans="1:11" x14ac:dyDescent="0.35">
      <c r="A878" s="15">
        <v>45852</v>
      </c>
      <c r="B878" s="11" t="s">
        <v>819</v>
      </c>
      <c r="C878" s="19">
        <v>45853</v>
      </c>
      <c r="D878" s="13" t="s">
        <v>876</v>
      </c>
      <c r="E878" s="12">
        <v>5000</v>
      </c>
      <c r="F878" s="21" t="s">
        <v>30</v>
      </c>
      <c r="G878" s="21" t="s">
        <v>72</v>
      </c>
      <c r="H878" s="21" t="s">
        <v>73</v>
      </c>
      <c r="I878" s="21" t="s">
        <v>90</v>
      </c>
      <c r="J878" s="68">
        <f>+MONTH(ExpenseTable[[#This Row],[Voucher Date]])</f>
        <v>7</v>
      </c>
      <c r="K878" s="13" t="s">
        <v>238</v>
      </c>
    </row>
    <row r="879" spans="1:11" x14ac:dyDescent="0.35">
      <c r="A879" s="15">
        <v>45854</v>
      </c>
      <c r="B879" s="11" t="s">
        <v>819</v>
      </c>
      <c r="C879" s="19">
        <v>45853</v>
      </c>
      <c r="D879" s="13" t="s">
        <v>879</v>
      </c>
      <c r="E879" s="12">
        <v>10000</v>
      </c>
      <c r="F879" s="21" t="s">
        <v>32</v>
      </c>
      <c r="G879" s="21" t="s">
        <v>72</v>
      </c>
      <c r="H879" s="21" t="s">
        <v>73</v>
      </c>
      <c r="I879" s="21" t="s">
        <v>90</v>
      </c>
      <c r="J879" s="68">
        <f>+MONTH(ExpenseTable[[#This Row],[Voucher Date]])</f>
        <v>7</v>
      </c>
      <c r="K879" s="13" t="s">
        <v>238</v>
      </c>
    </row>
    <row r="880" spans="1:11" x14ac:dyDescent="0.35">
      <c r="A880" s="15">
        <v>45852</v>
      </c>
      <c r="B880" s="11" t="s">
        <v>819</v>
      </c>
      <c r="C880" s="19">
        <v>45853</v>
      </c>
      <c r="D880" s="13" t="s">
        <v>877</v>
      </c>
      <c r="E880" s="12">
        <v>15200</v>
      </c>
      <c r="F880" s="21" t="s">
        <v>21</v>
      </c>
      <c r="G880" s="21" t="s">
        <v>72</v>
      </c>
      <c r="H880" s="21" t="s">
        <v>73</v>
      </c>
      <c r="I880" s="21" t="s">
        <v>90</v>
      </c>
      <c r="J880" s="68">
        <f>+MONTH(ExpenseTable[[#This Row],[Voucher Date]])</f>
        <v>7</v>
      </c>
      <c r="K880" s="13" t="s">
        <v>238</v>
      </c>
    </row>
    <row r="881" spans="1:11" x14ac:dyDescent="0.35">
      <c r="A881" s="15">
        <v>45853</v>
      </c>
      <c r="B881" s="11" t="s">
        <v>819</v>
      </c>
      <c r="C881" s="19">
        <v>45853</v>
      </c>
      <c r="D881" s="13" t="s">
        <v>821</v>
      </c>
      <c r="E881" s="12">
        <v>40000</v>
      </c>
      <c r="F881" s="21" t="s">
        <v>54</v>
      </c>
      <c r="G881" s="21" t="s">
        <v>80</v>
      </c>
      <c r="H881" s="21" t="s">
        <v>89</v>
      </c>
      <c r="I881" s="21" t="s">
        <v>90</v>
      </c>
      <c r="J881" s="68">
        <f>+MONTH(ExpenseTable[[#This Row],[Voucher Date]])</f>
        <v>7</v>
      </c>
      <c r="K881" s="13" t="s">
        <v>238</v>
      </c>
    </row>
    <row r="882" spans="1:11" x14ac:dyDescent="0.35">
      <c r="A882" s="15">
        <v>45853</v>
      </c>
      <c r="B882" s="11" t="s">
        <v>819</v>
      </c>
      <c r="C882" s="19">
        <v>45853</v>
      </c>
      <c r="D882" s="13" t="s">
        <v>878</v>
      </c>
      <c r="E882" s="12">
        <v>90000</v>
      </c>
      <c r="F882" s="21" t="s">
        <v>5</v>
      </c>
      <c r="G882" s="21" t="s">
        <v>72</v>
      </c>
      <c r="H882" s="21" t="s">
        <v>73</v>
      </c>
      <c r="I882" s="21" t="s">
        <v>90</v>
      </c>
      <c r="J882" s="68">
        <f>+MONTH(ExpenseTable[[#This Row],[Voucher Date]])</f>
        <v>7</v>
      </c>
      <c r="K882" s="13" t="s">
        <v>238</v>
      </c>
    </row>
    <row r="883" spans="1:11" x14ac:dyDescent="0.35">
      <c r="A883" s="15">
        <v>45853</v>
      </c>
      <c r="B883" s="11" t="s">
        <v>819</v>
      </c>
      <c r="C883" s="19">
        <v>45853</v>
      </c>
      <c r="D883" s="13" t="s">
        <v>880</v>
      </c>
      <c r="E883" s="12">
        <v>122700</v>
      </c>
      <c r="F883" s="21" t="s">
        <v>22</v>
      </c>
      <c r="G883" s="21" t="s">
        <v>72</v>
      </c>
      <c r="H883" s="21" t="s">
        <v>73</v>
      </c>
      <c r="I883" s="21" t="s">
        <v>90</v>
      </c>
      <c r="J883" s="68">
        <f>+MONTH(ExpenseTable[[#This Row],[Voucher Date]])</f>
        <v>7</v>
      </c>
      <c r="K883" s="13" t="s">
        <v>238</v>
      </c>
    </row>
    <row r="884" spans="1:11" x14ac:dyDescent="0.35">
      <c r="A884" s="15">
        <v>45854</v>
      </c>
      <c r="B884" s="11" t="s">
        <v>819</v>
      </c>
      <c r="C884" s="19">
        <v>45853</v>
      </c>
      <c r="D884" s="13" t="s">
        <v>822</v>
      </c>
      <c r="E884" s="12">
        <v>348000</v>
      </c>
      <c r="F884" s="21" t="s">
        <v>57</v>
      </c>
      <c r="G884" s="21" t="s">
        <v>72</v>
      </c>
      <c r="H884" s="21" t="s">
        <v>73</v>
      </c>
      <c r="I884" s="21" t="s">
        <v>90</v>
      </c>
      <c r="J884" s="68">
        <f>+MONTH(ExpenseTable[[#This Row],[Voucher Date]])</f>
        <v>7</v>
      </c>
      <c r="K884" s="13" t="s">
        <v>238</v>
      </c>
    </row>
    <row r="885" spans="1:11" x14ac:dyDescent="0.35">
      <c r="A885" s="15">
        <v>45861</v>
      </c>
      <c r="B885" s="11" t="s">
        <v>872</v>
      </c>
      <c r="C885" s="19">
        <v>45853</v>
      </c>
      <c r="D885" s="13" t="s">
        <v>884</v>
      </c>
      <c r="E885" s="12">
        <v>2200</v>
      </c>
      <c r="F885" s="21" t="s">
        <v>54</v>
      </c>
      <c r="G885" s="21" t="s">
        <v>67</v>
      </c>
      <c r="H885" s="21" t="s">
        <v>79</v>
      </c>
      <c r="I885" s="21" t="s">
        <v>90</v>
      </c>
      <c r="J885" s="68">
        <f>+MONTH(ExpenseTable[[#This Row],[Voucher Date]])</f>
        <v>7</v>
      </c>
      <c r="K885" s="13" t="s">
        <v>238</v>
      </c>
    </row>
    <row r="886" spans="1:11" x14ac:dyDescent="0.35">
      <c r="A886" s="15">
        <v>45859</v>
      </c>
      <c r="B886" s="11" t="s">
        <v>872</v>
      </c>
      <c r="C886" s="19">
        <v>45853</v>
      </c>
      <c r="D886" s="13" t="s">
        <v>883</v>
      </c>
      <c r="E886" s="12">
        <v>2600</v>
      </c>
      <c r="F886" s="21" t="s">
        <v>5</v>
      </c>
      <c r="G886" s="21" t="s">
        <v>72</v>
      </c>
      <c r="H886" s="21" t="s">
        <v>73</v>
      </c>
      <c r="I886" s="21" t="s">
        <v>90</v>
      </c>
      <c r="J886" s="68">
        <f>+MONTH(ExpenseTable[[#This Row],[Voucher Date]])</f>
        <v>7</v>
      </c>
      <c r="K886" s="13" t="s">
        <v>238</v>
      </c>
    </row>
    <row r="887" spans="1:11" x14ac:dyDescent="0.35">
      <c r="A887" s="15">
        <v>45863</v>
      </c>
      <c r="B887" s="11" t="s">
        <v>872</v>
      </c>
      <c r="C887" s="19">
        <v>45853</v>
      </c>
      <c r="D887" s="13" t="s">
        <v>887</v>
      </c>
      <c r="E887" s="12">
        <v>3000</v>
      </c>
      <c r="F887" s="21" t="s">
        <v>54</v>
      </c>
      <c r="G887" s="21" t="s">
        <v>97</v>
      </c>
      <c r="H887" s="21" t="s">
        <v>98</v>
      </c>
      <c r="I887" s="21" t="s">
        <v>90</v>
      </c>
      <c r="J887" s="68">
        <f>+MONTH(ExpenseTable[[#This Row],[Voucher Date]])</f>
        <v>7</v>
      </c>
      <c r="K887" s="13" t="s">
        <v>238</v>
      </c>
    </row>
    <row r="888" spans="1:11" x14ac:dyDescent="0.35">
      <c r="A888" s="15">
        <v>45853</v>
      </c>
      <c r="B888" s="11" t="s">
        <v>872</v>
      </c>
      <c r="C888" s="19">
        <v>45853</v>
      </c>
      <c r="D888" s="13" t="s">
        <v>886</v>
      </c>
      <c r="E888" s="12">
        <v>5000</v>
      </c>
      <c r="F888" s="21" t="s">
        <v>26</v>
      </c>
      <c r="G888" s="21" t="s">
        <v>72</v>
      </c>
      <c r="H888" s="21" t="s">
        <v>73</v>
      </c>
      <c r="I888" s="21" t="s">
        <v>90</v>
      </c>
      <c r="J888" s="68">
        <f>+MONTH(ExpenseTable[[#This Row],[Voucher Date]])</f>
        <v>7</v>
      </c>
      <c r="K888" s="13" t="s">
        <v>238</v>
      </c>
    </row>
    <row r="889" spans="1:11" x14ac:dyDescent="0.35">
      <c r="A889" s="15">
        <v>45854</v>
      </c>
      <c r="B889" s="11" t="s">
        <v>872</v>
      </c>
      <c r="C889" s="19">
        <v>45853</v>
      </c>
      <c r="D889" s="13" t="s">
        <v>881</v>
      </c>
      <c r="E889" s="12">
        <v>10400</v>
      </c>
      <c r="F889" s="21" t="s">
        <v>5</v>
      </c>
      <c r="G889" s="21" t="s">
        <v>72</v>
      </c>
      <c r="H889" s="21" t="s">
        <v>73</v>
      </c>
      <c r="I889" s="21" t="s">
        <v>90</v>
      </c>
      <c r="J889" s="68">
        <f>+MONTH(ExpenseTable[[#This Row],[Voucher Date]])</f>
        <v>7</v>
      </c>
      <c r="K889" s="13" t="s">
        <v>238</v>
      </c>
    </row>
    <row r="890" spans="1:11" x14ac:dyDescent="0.35">
      <c r="A890" s="15">
        <v>45853</v>
      </c>
      <c r="B890" s="11" t="s">
        <v>872</v>
      </c>
      <c r="C890" s="19">
        <v>45853</v>
      </c>
      <c r="D890" s="13" t="s">
        <v>885</v>
      </c>
      <c r="E890" s="12">
        <v>20000</v>
      </c>
      <c r="F890" s="21" t="s">
        <v>26</v>
      </c>
      <c r="G890" s="21" t="s">
        <v>72</v>
      </c>
      <c r="H890" s="21" t="s">
        <v>73</v>
      </c>
      <c r="I890" s="21" t="s">
        <v>90</v>
      </c>
      <c r="J890" s="68">
        <f>+MONTH(ExpenseTable[[#This Row],[Voucher Date]])</f>
        <v>7</v>
      </c>
      <c r="K890" s="13" t="s">
        <v>238</v>
      </c>
    </row>
    <row r="891" spans="1:11" x14ac:dyDescent="0.35">
      <c r="A891" s="15">
        <v>45856</v>
      </c>
      <c r="B891" s="11" t="s">
        <v>872</v>
      </c>
      <c r="C891" s="19">
        <v>45853</v>
      </c>
      <c r="D891" s="13" t="s">
        <v>882</v>
      </c>
      <c r="E891" s="12">
        <v>40000</v>
      </c>
      <c r="F891" s="21" t="s">
        <v>5</v>
      </c>
      <c r="G891" s="21" t="s">
        <v>72</v>
      </c>
      <c r="H891" s="21" t="s">
        <v>73</v>
      </c>
      <c r="I891" s="21" t="s">
        <v>90</v>
      </c>
      <c r="J891" s="68">
        <f>+MONTH(ExpenseTable[[#This Row],[Voucher Date]])</f>
        <v>7</v>
      </c>
      <c r="K891" s="13" t="s">
        <v>238</v>
      </c>
    </row>
    <row r="892" spans="1:11" x14ac:dyDescent="0.35">
      <c r="A892" s="15">
        <v>45863</v>
      </c>
      <c r="B892" s="11" t="s">
        <v>872</v>
      </c>
      <c r="C892" s="19">
        <v>45853</v>
      </c>
      <c r="D892" s="13" t="s">
        <v>288</v>
      </c>
      <c r="E892" s="12">
        <v>50000</v>
      </c>
      <c r="F892" s="21" t="s">
        <v>40</v>
      </c>
      <c r="G892" s="21" t="s">
        <v>72</v>
      </c>
      <c r="H892" s="21" t="s">
        <v>73</v>
      </c>
      <c r="I892" s="21" t="s">
        <v>90</v>
      </c>
      <c r="J892" s="68">
        <f>+MONTH(ExpenseTable[[#This Row],[Voucher Date]])</f>
        <v>7</v>
      </c>
      <c r="K892" s="13" t="s">
        <v>238</v>
      </c>
    </row>
    <row r="893" spans="1:11" x14ac:dyDescent="0.35">
      <c r="A893" s="15">
        <v>45856</v>
      </c>
      <c r="B893" s="11" t="s">
        <v>953</v>
      </c>
      <c r="C893" s="19">
        <v>45853</v>
      </c>
      <c r="D893" s="13" t="s">
        <v>955</v>
      </c>
      <c r="E893" s="12">
        <v>8000</v>
      </c>
      <c r="F893" s="21" t="s">
        <v>57</v>
      </c>
      <c r="G893" s="21" t="s">
        <v>72</v>
      </c>
      <c r="H893" s="21" t="s">
        <v>73</v>
      </c>
      <c r="I893" s="21" t="s">
        <v>1123</v>
      </c>
      <c r="J893" s="68">
        <f>+MONTH(ExpenseTable[[#This Row],[Voucher Date]])</f>
        <v>7</v>
      </c>
      <c r="K893" s="13" t="s">
        <v>238</v>
      </c>
    </row>
    <row r="894" spans="1:11" x14ac:dyDescent="0.35">
      <c r="A894" s="15">
        <v>45863</v>
      </c>
      <c r="B894" s="11" t="s">
        <v>953</v>
      </c>
      <c r="C894" s="19">
        <v>45853</v>
      </c>
      <c r="D894" s="13" t="s">
        <v>956</v>
      </c>
      <c r="E894" s="12">
        <v>12000</v>
      </c>
      <c r="F894" s="21" t="s">
        <v>30</v>
      </c>
      <c r="G894" s="21" t="s">
        <v>72</v>
      </c>
      <c r="H894" s="21" t="s">
        <v>73</v>
      </c>
      <c r="I894" s="21" t="s">
        <v>1123</v>
      </c>
      <c r="J894" s="68">
        <f>+MONTH(ExpenseTable[[#This Row],[Voucher Date]])</f>
        <v>7</v>
      </c>
      <c r="K894" s="13" t="s">
        <v>238</v>
      </c>
    </row>
    <row r="895" spans="1:11" x14ac:dyDescent="0.35">
      <c r="A895" s="15">
        <v>45853</v>
      </c>
      <c r="B895" s="11" t="s">
        <v>953</v>
      </c>
      <c r="C895" s="19">
        <v>45853</v>
      </c>
      <c r="D895" s="13" t="s">
        <v>948</v>
      </c>
      <c r="E895" s="12">
        <v>15000</v>
      </c>
      <c r="F895" s="21" t="s">
        <v>22</v>
      </c>
      <c r="G895" s="21" t="s">
        <v>72</v>
      </c>
      <c r="H895" s="21" t="s">
        <v>73</v>
      </c>
      <c r="I895" s="21" t="s">
        <v>1123</v>
      </c>
      <c r="J895" s="68">
        <f>+MONTH(ExpenseTable[[#This Row],[Voucher Date]])</f>
        <v>7</v>
      </c>
      <c r="K895" s="13" t="s">
        <v>238</v>
      </c>
    </row>
    <row r="896" spans="1:11" x14ac:dyDescent="0.35">
      <c r="A896" s="15">
        <v>45863</v>
      </c>
      <c r="B896" s="11" t="s">
        <v>953</v>
      </c>
      <c r="C896" s="19">
        <v>45853</v>
      </c>
      <c r="D896" s="13" t="s">
        <v>952</v>
      </c>
      <c r="E896" s="12">
        <v>15000</v>
      </c>
      <c r="F896" s="21" t="s">
        <v>54</v>
      </c>
      <c r="G896" s="21" t="s">
        <v>80</v>
      </c>
      <c r="H896" s="21" t="s">
        <v>89</v>
      </c>
      <c r="I896" s="21" t="s">
        <v>1123</v>
      </c>
      <c r="J896" s="68">
        <f>+MONTH(ExpenseTable[[#This Row],[Voucher Date]])</f>
        <v>7</v>
      </c>
      <c r="K896" s="13" t="s">
        <v>238</v>
      </c>
    </row>
    <row r="897" spans="1:11" x14ac:dyDescent="0.35">
      <c r="A897" s="15">
        <v>45863</v>
      </c>
      <c r="B897" s="11" t="s">
        <v>953</v>
      </c>
      <c r="C897" s="19">
        <v>45853</v>
      </c>
      <c r="D897" s="13" t="s">
        <v>951</v>
      </c>
      <c r="E897" s="12">
        <v>17000</v>
      </c>
      <c r="F897" s="21" t="s">
        <v>22</v>
      </c>
      <c r="G897" s="21" t="s">
        <v>72</v>
      </c>
      <c r="H897" s="21" t="s">
        <v>73</v>
      </c>
      <c r="I897" s="21" t="s">
        <v>1123</v>
      </c>
      <c r="J897" s="68">
        <f>+MONTH(ExpenseTable[[#This Row],[Voucher Date]])</f>
        <v>7</v>
      </c>
      <c r="K897" s="13" t="s">
        <v>238</v>
      </c>
    </row>
    <row r="898" spans="1:11" x14ac:dyDescent="0.35">
      <c r="A898" s="15">
        <v>45857</v>
      </c>
      <c r="B898" s="11" t="s">
        <v>953</v>
      </c>
      <c r="C898" s="19">
        <v>45853</v>
      </c>
      <c r="D898" s="13" t="s">
        <v>950</v>
      </c>
      <c r="E898" s="12">
        <v>21000</v>
      </c>
      <c r="F898" s="21" t="s">
        <v>54</v>
      </c>
      <c r="G898" s="21" t="s">
        <v>80</v>
      </c>
      <c r="H898" s="21" t="s">
        <v>89</v>
      </c>
      <c r="I898" s="21" t="s">
        <v>1123</v>
      </c>
      <c r="J898" s="68">
        <f>+MONTH(ExpenseTable[[#This Row],[Voucher Date]])</f>
        <v>7</v>
      </c>
      <c r="K898" s="13" t="s">
        <v>238</v>
      </c>
    </row>
    <row r="899" spans="1:11" x14ac:dyDescent="0.35">
      <c r="A899" s="15">
        <v>45855</v>
      </c>
      <c r="B899" s="11" t="s">
        <v>953</v>
      </c>
      <c r="C899" s="19">
        <v>45853</v>
      </c>
      <c r="D899" s="13" t="s">
        <v>949</v>
      </c>
      <c r="E899" s="12">
        <v>88000.03</v>
      </c>
      <c r="F899" s="21" t="s">
        <v>33</v>
      </c>
      <c r="G899" s="21" t="s">
        <v>72</v>
      </c>
      <c r="H899" s="21" t="s">
        <v>73</v>
      </c>
      <c r="I899" s="21" t="s">
        <v>1123</v>
      </c>
      <c r="J899" s="68">
        <f>+MONTH(ExpenseTable[[#This Row],[Voucher Date]])</f>
        <v>7</v>
      </c>
      <c r="K899" s="13" t="s">
        <v>238</v>
      </c>
    </row>
    <row r="900" spans="1:11" x14ac:dyDescent="0.35">
      <c r="A900" s="15">
        <v>45853</v>
      </c>
      <c r="B900" s="11" t="s">
        <v>953</v>
      </c>
      <c r="C900" s="19">
        <v>45853</v>
      </c>
      <c r="D900" s="13" t="s">
        <v>954</v>
      </c>
      <c r="E900" s="12">
        <v>180000</v>
      </c>
      <c r="F900" s="21" t="s">
        <v>54</v>
      </c>
      <c r="G900" s="21" t="s">
        <v>80</v>
      </c>
      <c r="H900" s="21" t="s">
        <v>89</v>
      </c>
      <c r="I900" s="21" t="s">
        <v>1123</v>
      </c>
      <c r="J900" s="68">
        <f>+MONTH(ExpenseTable[[#This Row],[Voucher Date]])</f>
        <v>7</v>
      </c>
      <c r="K900" s="13" t="s">
        <v>238</v>
      </c>
    </row>
    <row r="901" spans="1:11" x14ac:dyDescent="0.35">
      <c r="A901" s="15">
        <v>45857</v>
      </c>
      <c r="B901" s="11" t="s">
        <v>823</v>
      </c>
      <c r="C901" s="19">
        <v>45854</v>
      </c>
      <c r="D901" s="13" t="s">
        <v>829</v>
      </c>
      <c r="E901" s="12">
        <v>1500</v>
      </c>
      <c r="F901" s="21" t="s">
        <v>55</v>
      </c>
      <c r="G901" s="21" t="s">
        <v>80</v>
      </c>
      <c r="H901" s="21" t="s">
        <v>89</v>
      </c>
      <c r="I901" s="21" t="s">
        <v>90</v>
      </c>
      <c r="J901" s="68">
        <f>+MONTH(ExpenseTable[[#This Row],[Voucher Date]])</f>
        <v>7</v>
      </c>
      <c r="K901" s="68" t="s">
        <v>238</v>
      </c>
    </row>
    <row r="902" spans="1:11" x14ac:dyDescent="0.35">
      <c r="A902" s="15">
        <v>45855</v>
      </c>
      <c r="B902" s="11" t="s">
        <v>823</v>
      </c>
      <c r="C902" s="19">
        <v>45854</v>
      </c>
      <c r="D902" s="13" t="s">
        <v>827</v>
      </c>
      <c r="E902" s="12">
        <v>5000</v>
      </c>
      <c r="F902" s="21" t="s">
        <v>54</v>
      </c>
      <c r="G902" s="21" t="s">
        <v>97</v>
      </c>
      <c r="H902" s="21" t="s">
        <v>98</v>
      </c>
      <c r="I902" s="21" t="s">
        <v>90</v>
      </c>
      <c r="J902" s="68">
        <f>+MONTH(ExpenseTable[[#This Row],[Voucher Date]])</f>
        <v>7</v>
      </c>
      <c r="K902" s="68" t="s">
        <v>238</v>
      </c>
    </row>
    <row r="903" spans="1:11" x14ac:dyDescent="0.35">
      <c r="A903" s="15">
        <v>45857</v>
      </c>
      <c r="B903" s="11" t="s">
        <v>823</v>
      </c>
      <c r="C903" s="19">
        <v>45854</v>
      </c>
      <c r="D903" s="13" t="s">
        <v>830</v>
      </c>
      <c r="E903" s="12">
        <v>10000</v>
      </c>
      <c r="F903" s="21" t="s">
        <v>40</v>
      </c>
      <c r="G903" s="21" t="s">
        <v>72</v>
      </c>
      <c r="H903" s="21" t="s">
        <v>73</v>
      </c>
      <c r="I903" s="21" t="s">
        <v>90</v>
      </c>
      <c r="J903" s="68">
        <f>+MONTH(ExpenseTable[[#This Row],[Voucher Date]])</f>
        <v>7</v>
      </c>
      <c r="K903" s="68" t="s">
        <v>238</v>
      </c>
    </row>
    <row r="904" spans="1:11" x14ac:dyDescent="0.35">
      <c r="A904" s="15">
        <v>45855</v>
      </c>
      <c r="B904" s="11" t="s">
        <v>823</v>
      </c>
      <c r="C904" s="19">
        <v>45854</v>
      </c>
      <c r="D904" s="13" t="s">
        <v>826</v>
      </c>
      <c r="E904" s="12">
        <v>22000</v>
      </c>
      <c r="F904" s="21" t="s">
        <v>5</v>
      </c>
      <c r="G904" s="21" t="s">
        <v>72</v>
      </c>
      <c r="H904" s="21" t="s">
        <v>73</v>
      </c>
      <c r="I904" s="21" t="s">
        <v>90</v>
      </c>
      <c r="J904" s="68">
        <f>+MONTH(ExpenseTable[[#This Row],[Voucher Date]])</f>
        <v>7</v>
      </c>
      <c r="K904" s="68" t="s">
        <v>238</v>
      </c>
    </row>
    <row r="905" spans="1:11" x14ac:dyDescent="0.35">
      <c r="A905" s="15">
        <v>45856</v>
      </c>
      <c r="B905" s="11" t="s">
        <v>823</v>
      </c>
      <c r="C905" s="19">
        <v>45854</v>
      </c>
      <c r="D905" s="13" t="s">
        <v>288</v>
      </c>
      <c r="E905" s="12">
        <v>40000</v>
      </c>
      <c r="F905" s="21" t="s">
        <v>40</v>
      </c>
      <c r="G905" s="21" t="s">
        <v>72</v>
      </c>
      <c r="H905" s="21" t="s">
        <v>73</v>
      </c>
      <c r="I905" s="21" t="s">
        <v>90</v>
      </c>
      <c r="J905" s="68">
        <f>+MONTH(ExpenseTable[[#This Row],[Voucher Date]])</f>
        <v>7</v>
      </c>
      <c r="K905" s="68" t="s">
        <v>238</v>
      </c>
    </row>
    <row r="906" spans="1:11" x14ac:dyDescent="0.35">
      <c r="A906" s="15">
        <v>45855</v>
      </c>
      <c r="B906" s="11" t="s">
        <v>823</v>
      </c>
      <c r="C906" s="19">
        <v>45854</v>
      </c>
      <c r="D906" s="13" t="s">
        <v>828</v>
      </c>
      <c r="E906" s="12">
        <v>45000</v>
      </c>
      <c r="F906" s="21" t="s">
        <v>5</v>
      </c>
      <c r="G906" s="21" t="s">
        <v>72</v>
      </c>
      <c r="H906" s="21" t="s">
        <v>73</v>
      </c>
      <c r="I906" s="21" t="s">
        <v>90</v>
      </c>
      <c r="J906" s="68">
        <f>+MONTH(ExpenseTable[[#This Row],[Voucher Date]])</f>
        <v>7</v>
      </c>
      <c r="K906" s="68" t="s">
        <v>238</v>
      </c>
    </row>
    <row r="907" spans="1:11" x14ac:dyDescent="0.35">
      <c r="A907" s="15">
        <v>45854</v>
      </c>
      <c r="B907" s="11" t="s">
        <v>823</v>
      </c>
      <c r="C907" s="19">
        <v>45854</v>
      </c>
      <c r="D907" s="13" t="s">
        <v>825</v>
      </c>
      <c r="E907" s="12">
        <v>250000</v>
      </c>
      <c r="F907" s="21" t="s">
        <v>5</v>
      </c>
      <c r="G907" s="21" t="s">
        <v>72</v>
      </c>
      <c r="H907" s="21" t="s">
        <v>73</v>
      </c>
      <c r="I907" s="21" t="s">
        <v>90</v>
      </c>
      <c r="J907" s="68">
        <f>+MONTH(ExpenseTable[[#This Row],[Voucher Date]])</f>
        <v>7</v>
      </c>
      <c r="K907" s="68" t="s">
        <v>238</v>
      </c>
    </row>
    <row r="908" spans="1:11" x14ac:dyDescent="0.35">
      <c r="A908" s="15">
        <v>45853</v>
      </c>
      <c r="B908" s="11" t="s">
        <v>823</v>
      </c>
      <c r="C908" s="19">
        <v>45854</v>
      </c>
      <c r="D908" s="13" t="s">
        <v>824</v>
      </c>
      <c r="E908" s="12">
        <v>447500</v>
      </c>
      <c r="F908" s="21" t="s">
        <v>88</v>
      </c>
      <c r="G908" s="21" t="s">
        <v>72</v>
      </c>
      <c r="H908" s="21" t="s">
        <v>73</v>
      </c>
      <c r="I908" s="21" t="s">
        <v>90</v>
      </c>
      <c r="J908" s="68">
        <f>+MONTH(ExpenseTable[[#This Row],[Voucher Date]])</f>
        <v>7</v>
      </c>
      <c r="K908" s="68" t="s">
        <v>238</v>
      </c>
    </row>
    <row r="909" spans="1:11" x14ac:dyDescent="0.35">
      <c r="A909" s="15">
        <v>45864</v>
      </c>
      <c r="B909" s="11" t="s">
        <v>841</v>
      </c>
      <c r="C909" s="19">
        <v>45854</v>
      </c>
      <c r="D909" s="13" t="s">
        <v>890</v>
      </c>
      <c r="E909" s="12">
        <v>3500</v>
      </c>
      <c r="F909" s="21" t="s">
        <v>5</v>
      </c>
      <c r="G909" s="21" t="s">
        <v>72</v>
      </c>
      <c r="H909" s="21" t="s">
        <v>73</v>
      </c>
      <c r="I909" s="21" t="s">
        <v>91</v>
      </c>
      <c r="J909" s="68">
        <f>+MONTH(ExpenseTable[[#This Row],[Voucher Date]])</f>
        <v>7</v>
      </c>
      <c r="K909" s="13" t="s">
        <v>238</v>
      </c>
    </row>
    <row r="910" spans="1:11" x14ac:dyDescent="0.35">
      <c r="A910" s="15">
        <v>45864</v>
      </c>
      <c r="B910" s="11" t="s">
        <v>841</v>
      </c>
      <c r="C910" s="19">
        <v>45854</v>
      </c>
      <c r="D910" s="13" t="s">
        <v>891</v>
      </c>
      <c r="E910" s="12">
        <v>40000</v>
      </c>
      <c r="F910" s="21" t="s">
        <v>54</v>
      </c>
      <c r="G910" s="21" t="s">
        <v>80</v>
      </c>
      <c r="H910" s="21" t="s">
        <v>89</v>
      </c>
      <c r="I910" s="21" t="s">
        <v>91</v>
      </c>
      <c r="J910" s="68">
        <f>+MONTH(ExpenseTable[[#This Row],[Voucher Date]])</f>
        <v>7</v>
      </c>
      <c r="K910" s="13" t="s">
        <v>238</v>
      </c>
    </row>
    <row r="911" spans="1:11" x14ac:dyDescent="0.35">
      <c r="A911" s="15">
        <v>45860</v>
      </c>
      <c r="B911" s="11" t="s">
        <v>841</v>
      </c>
      <c r="C911" s="19">
        <v>45854</v>
      </c>
      <c r="D911" s="13" t="s">
        <v>892</v>
      </c>
      <c r="E911" s="12">
        <v>57583.25</v>
      </c>
      <c r="F911" s="21" t="s">
        <v>84</v>
      </c>
      <c r="G911" s="21" t="s">
        <v>72</v>
      </c>
      <c r="H911" s="21" t="s">
        <v>73</v>
      </c>
      <c r="I911" s="21" t="s">
        <v>91</v>
      </c>
      <c r="J911" s="68">
        <f>+MONTH(ExpenseTable[[#This Row],[Voucher Date]])</f>
        <v>7</v>
      </c>
      <c r="K911" s="13" t="s">
        <v>238</v>
      </c>
    </row>
    <row r="912" spans="1:11" x14ac:dyDescent="0.35">
      <c r="A912" s="15">
        <v>45854</v>
      </c>
      <c r="B912" s="11" t="s">
        <v>841</v>
      </c>
      <c r="C912" s="19">
        <v>45854</v>
      </c>
      <c r="D912" s="13" t="s">
        <v>831</v>
      </c>
      <c r="E912" s="12">
        <v>80000</v>
      </c>
      <c r="F912" s="21" t="s">
        <v>33</v>
      </c>
      <c r="G912" s="21" t="s">
        <v>72</v>
      </c>
      <c r="H912" s="21" t="s">
        <v>73</v>
      </c>
      <c r="I912" s="21" t="s">
        <v>91</v>
      </c>
      <c r="J912" s="68">
        <f>+MONTH(ExpenseTable[[#This Row],[Voucher Date]])</f>
        <v>7</v>
      </c>
      <c r="K912" s="13" t="s">
        <v>238</v>
      </c>
    </row>
    <row r="913" spans="1:11" x14ac:dyDescent="0.35">
      <c r="A913" s="15">
        <v>45852</v>
      </c>
      <c r="B913" s="11" t="s">
        <v>841</v>
      </c>
      <c r="C913" s="19">
        <v>45854</v>
      </c>
      <c r="D913" s="13" t="s">
        <v>889</v>
      </c>
      <c r="E913" s="12">
        <v>135000</v>
      </c>
      <c r="F913" s="21" t="s">
        <v>5</v>
      </c>
      <c r="G913" s="21" t="s">
        <v>72</v>
      </c>
      <c r="H913" s="21" t="s">
        <v>73</v>
      </c>
      <c r="I913" s="21" t="s">
        <v>91</v>
      </c>
      <c r="J913" s="68">
        <f>+MONTH(ExpenseTable[[#This Row],[Voucher Date]])</f>
        <v>7</v>
      </c>
      <c r="K913" s="13" t="s">
        <v>238</v>
      </c>
    </row>
    <row r="914" spans="1:11" x14ac:dyDescent="0.35">
      <c r="A914" s="15">
        <v>45852</v>
      </c>
      <c r="B914" s="11" t="s">
        <v>841</v>
      </c>
      <c r="C914" s="19">
        <v>45854</v>
      </c>
      <c r="D914" s="13" t="s">
        <v>832</v>
      </c>
      <c r="E914" s="12">
        <v>180000</v>
      </c>
      <c r="F914" s="21" t="s">
        <v>5</v>
      </c>
      <c r="G914" s="21" t="s">
        <v>72</v>
      </c>
      <c r="H914" s="21" t="s">
        <v>73</v>
      </c>
      <c r="I914" s="21" t="s">
        <v>91</v>
      </c>
      <c r="J914" s="68">
        <f>+MONTH(ExpenseTable[[#This Row],[Voucher Date]])</f>
        <v>7</v>
      </c>
      <c r="K914" s="13" t="s">
        <v>238</v>
      </c>
    </row>
    <row r="915" spans="1:11" x14ac:dyDescent="0.35">
      <c r="A915" s="15">
        <v>45855</v>
      </c>
      <c r="B915" s="11" t="s">
        <v>841</v>
      </c>
      <c r="C915" s="19">
        <v>45854</v>
      </c>
      <c r="D915" s="13" t="s">
        <v>888</v>
      </c>
      <c r="E915" s="12">
        <v>200000</v>
      </c>
      <c r="F915" s="21" t="s">
        <v>5</v>
      </c>
      <c r="G915" s="21" t="s">
        <v>72</v>
      </c>
      <c r="H915" s="21" t="s">
        <v>73</v>
      </c>
      <c r="I915" s="21" t="s">
        <v>91</v>
      </c>
      <c r="J915" s="68">
        <f>+MONTH(ExpenseTable[[#This Row],[Voucher Date]])</f>
        <v>7</v>
      </c>
      <c r="K915" s="13" t="s">
        <v>238</v>
      </c>
    </row>
    <row r="916" spans="1:11" x14ac:dyDescent="0.35">
      <c r="A916" s="15">
        <v>45855</v>
      </c>
      <c r="B916" s="11" t="s">
        <v>841</v>
      </c>
      <c r="C916" s="19">
        <v>45854</v>
      </c>
      <c r="D916" s="13" t="s">
        <v>893</v>
      </c>
      <c r="E916" s="12">
        <v>280000</v>
      </c>
      <c r="F916" s="21" t="s">
        <v>54</v>
      </c>
      <c r="G916" s="21" t="s">
        <v>80</v>
      </c>
      <c r="H916" s="21" t="s">
        <v>89</v>
      </c>
      <c r="I916" s="21" t="s">
        <v>91</v>
      </c>
      <c r="J916" s="68">
        <f>+MONTH(ExpenseTable[[#This Row],[Voucher Date]])</f>
        <v>7</v>
      </c>
      <c r="K916" s="13" t="s">
        <v>238</v>
      </c>
    </row>
    <row r="917" spans="1:11" x14ac:dyDescent="0.35">
      <c r="A917" s="15">
        <v>45862</v>
      </c>
      <c r="B917" s="11" t="s">
        <v>833</v>
      </c>
      <c r="C917" s="19">
        <v>45857</v>
      </c>
      <c r="D917" s="13" t="s">
        <v>834</v>
      </c>
      <c r="E917" s="12">
        <v>10000</v>
      </c>
      <c r="F917" s="21" t="s">
        <v>30</v>
      </c>
      <c r="G917" s="21" t="s">
        <v>72</v>
      </c>
      <c r="H917" s="21" t="s">
        <v>73</v>
      </c>
      <c r="I917" s="21" t="s">
        <v>1123</v>
      </c>
      <c r="J917" s="68">
        <f>+MONTH(ExpenseTable[[#This Row],[Voucher Date]])</f>
        <v>7</v>
      </c>
      <c r="K917" s="13" t="s">
        <v>874</v>
      </c>
    </row>
    <row r="918" spans="1:11" x14ac:dyDescent="0.35">
      <c r="A918" s="15">
        <v>45863</v>
      </c>
      <c r="B918" s="11" t="s">
        <v>833</v>
      </c>
      <c r="C918" s="19">
        <v>45857</v>
      </c>
      <c r="D918" s="13" t="s">
        <v>835</v>
      </c>
      <c r="E918" s="12">
        <v>10000</v>
      </c>
      <c r="F918" s="21" t="s">
        <v>23</v>
      </c>
      <c r="G918" s="21" t="s">
        <v>72</v>
      </c>
      <c r="H918" s="21" t="s">
        <v>73</v>
      </c>
      <c r="I918" s="21" t="s">
        <v>1123</v>
      </c>
      <c r="J918" s="68">
        <f>+MONTH(ExpenseTable[[#This Row],[Voucher Date]])</f>
        <v>7</v>
      </c>
      <c r="K918" s="13" t="s">
        <v>874</v>
      </c>
    </row>
    <row r="919" spans="1:11" x14ac:dyDescent="0.35">
      <c r="A919" s="15">
        <v>45858</v>
      </c>
      <c r="B919" s="11" t="s">
        <v>833</v>
      </c>
      <c r="C919" s="19">
        <v>45857</v>
      </c>
      <c r="D919" s="13" t="s">
        <v>705</v>
      </c>
      <c r="E919" s="12">
        <v>33500</v>
      </c>
      <c r="F919" s="21" t="s">
        <v>40</v>
      </c>
      <c r="G919" s="21" t="s">
        <v>72</v>
      </c>
      <c r="H919" s="21" t="s">
        <v>73</v>
      </c>
      <c r="I919" s="21" t="s">
        <v>1123</v>
      </c>
      <c r="J919" s="68">
        <f>+MONTH(ExpenseTable[[#This Row],[Voucher Date]])</f>
        <v>7</v>
      </c>
      <c r="K919" s="13" t="s">
        <v>874</v>
      </c>
    </row>
    <row r="920" spans="1:11" x14ac:dyDescent="0.35">
      <c r="A920" s="15">
        <v>45857</v>
      </c>
      <c r="B920" s="11" t="s">
        <v>833</v>
      </c>
      <c r="C920" s="19">
        <v>45857</v>
      </c>
      <c r="D920" s="13" t="s">
        <v>705</v>
      </c>
      <c r="E920" s="12">
        <v>42000</v>
      </c>
      <c r="F920" s="21" t="s">
        <v>40</v>
      </c>
      <c r="G920" s="21" t="s">
        <v>72</v>
      </c>
      <c r="H920" s="21" t="s">
        <v>73</v>
      </c>
      <c r="I920" s="21" t="s">
        <v>1123</v>
      </c>
      <c r="J920" s="68">
        <f>+MONTH(ExpenseTable[[#This Row],[Voucher Date]])</f>
        <v>7</v>
      </c>
      <c r="K920" s="13" t="s">
        <v>874</v>
      </c>
    </row>
    <row r="921" spans="1:11" x14ac:dyDescent="0.35">
      <c r="A921" s="15">
        <v>45867</v>
      </c>
      <c r="B921" s="11" t="s">
        <v>833</v>
      </c>
      <c r="C921" s="19">
        <v>45857</v>
      </c>
      <c r="D921" s="13" t="s">
        <v>189</v>
      </c>
      <c r="E921" s="12">
        <v>48000</v>
      </c>
      <c r="F921" s="21" t="s">
        <v>40</v>
      </c>
      <c r="G921" s="21" t="s">
        <v>72</v>
      </c>
      <c r="H921" s="21" t="s">
        <v>73</v>
      </c>
      <c r="I921" s="21" t="s">
        <v>1123</v>
      </c>
      <c r="J921" s="68">
        <f>+MONTH(ExpenseTable[[#This Row],[Voucher Date]])</f>
        <v>7</v>
      </c>
      <c r="K921" s="13" t="s">
        <v>874</v>
      </c>
    </row>
    <row r="922" spans="1:11" x14ac:dyDescent="0.35">
      <c r="A922" s="15">
        <v>45866</v>
      </c>
      <c r="B922" s="11" t="s">
        <v>833</v>
      </c>
      <c r="C922" s="19">
        <v>45857</v>
      </c>
      <c r="D922" s="13" t="s">
        <v>705</v>
      </c>
      <c r="E922" s="12">
        <v>51500</v>
      </c>
      <c r="F922" s="21" t="s">
        <v>40</v>
      </c>
      <c r="G922" s="21" t="s">
        <v>72</v>
      </c>
      <c r="H922" s="21" t="s">
        <v>73</v>
      </c>
      <c r="I922" s="21" t="s">
        <v>1123</v>
      </c>
      <c r="J922" s="68">
        <f>+MONTH(ExpenseTable[[#This Row],[Voucher Date]])</f>
        <v>7</v>
      </c>
      <c r="K922" s="13" t="s">
        <v>874</v>
      </c>
    </row>
    <row r="923" spans="1:11" x14ac:dyDescent="0.35">
      <c r="A923" s="15">
        <v>45859</v>
      </c>
      <c r="B923" s="11" t="s">
        <v>833</v>
      </c>
      <c r="C923" s="19">
        <v>45857</v>
      </c>
      <c r="D923" s="13" t="s">
        <v>189</v>
      </c>
      <c r="E923" s="12">
        <v>70000</v>
      </c>
      <c r="F923" s="21" t="s">
        <v>40</v>
      </c>
      <c r="G923" s="21" t="s">
        <v>72</v>
      </c>
      <c r="H923" s="21" t="s">
        <v>73</v>
      </c>
      <c r="I923" s="21" t="s">
        <v>1123</v>
      </c>
      <c r="J923" s="68">
        <f>+MONTH(ExpenseTable[[#This Row],[Voucher Date]])</f>
        <v>7</v>
      </c>
      <c r="K923" s="13" t="s">
        <v>874</v>
      </c>
    </row>
    <row r="924" spans="1:11" x14ac:dyDescent="0.35">
      <c r="A924" s="15">
        <v>45860</v>
      </c>
      <c r="B924" s="11" t="s">
        <v>836</v>
      </c>
      <c r="C924" s="19">
        <v>45858</v>
      </c>
      <c r="D924" s="13" t="s">
        <v>838</v>
      </c>
      <c r="E924" s="12">
        <v>2000</v>
      </c>
      <c r="F924" s="21" t="s">
        <v>5</v>
      </c>
      <c r="G924" s="21" t="s">
        <v>72</v>
      </c>
      <c r="H924" s="21" t="s">
        <v>73</v>
      </c>
      <c r="I924" s="21" t="s">
        <v>90</v>
      </c>
      <c r="J924" s="68">
        <f>+MONTH(ExpenseTable[[#This Row],[Voucher Date]])</f>
        <v>7</v>
      </c>
      <c r="K924" s="68" t="s">
        <v>238</v>
      </c>
    </row>
    <row r="925" spans="1:11" x14ac:dyDescent="0.35">
      <c r="A925" s="15">
        <v>45861</v>
      </c>
      <c r="B925" s="11" t="s">
        <v>836</v>
      </c>
      <c r="C925" s="19">
        <v>45858</v>
      </c>
      <c r="D925" s="13" t="s">
        <v>839</v>
      </c>
      <c r="E925" s="12">
        <v>3000</v>
      </c>
      <c r="F925" s="21" t="s">
        <v>55</v>
      </c>
      <c r="G925" s="21" t="s">
        <v>72</v>
      </c>
      <c r="H925" s="21" t="s">
        <v>73</v>
      </c>
      <c r="I925" s="21" t="s">
        <v>90</v>
      </c>
      <c r="J925" s="68">
        <f>+MONTH(ExpenseTable[[#This Row],[Voucher Date]])</f>
        <v>7</v>
      </c>
      <c r="K925" s="68" t="s">
        <v>238</v>
      </c>
    </row>
    <row r="926" spans="1:11" x14ac:dyDescent="0.35">
      <c r="A926" s="15">
        <v>45861</v>
      </c>
      <c r="B926" s="11" t="s">
        <v>836</v>
      </c>
      <c r="C926" s="19">
        <v>45858</v>
      </c>
      <c r="D926" s="13" t="s">
        <v>393</v>
      </c>
      <c r="E926" s="12">
        <v>3900</v>
      </c>
      <c r="F926" s="21" t="s">
        <v>37</v>
      </c>
      <c r="G926" s="21" t="s">
        <v>72</v>
      </c>
      <c r="H926" s="21" t="s">
        <v>73</v>
      </c>
      <c r="I926" s="21" t="s">
        <v>90</v>
      </c>
      <c r="J926" s="68">
        <f>+MONTH(ExpenseTable[[#This Row],[Voucher Date]])</f>
        <v>7</v>
      </c>
      <c r="K926" s="68" t="s">
        <v>238</v>
      </c>
    </row>
    <row r="927" spans="1:11" x14ac:dyDescent="0.35">
      <c r="A927" s="15">
        <v>45858</v>
      </c>
      <c r="B927" s="11" t="s">
        <v>836</v>
      </c>
      <c r="C927" s="19">
        <v>45858</v>
      </c>
      <c r="D927" s="13" t="s">
        <v>800</v>
      </c>
      <c r="E927" s="12">
        <v>5190</v>
      </c>
      <c r="F927" s="21" t="s">
        <v>37</v>
      </c>
      <c r="G927" s="21" t="s">
        <v>72</v>
      </c>
      <c r="H927" s="21" t="s">
        <v>73</v>
      </c>
      <c r="I927" s="21" t="s">
        <v>90</v>
      </c>
      <c r="J927" s="68">
        <f>+MONTH(ExpenseTable[[#This Row],[Voucher Date]])</f>
        <v>7</v>
      </c>
      <c r="K927" s="68" t="s">
        <v>238</v>
      </c>
    </row>
    <row r="928" spans="1:11" x14ac:dyDescent="0.35">
      <c r="A928" s="15">
        <v>45866</v>
      </c>
      <c r="B928" s="11" t="s">
        <v>836</v>
      </c>
      <c r="C928" s="19">
        <v>45858</v>
      </c>
      <c r="D928" s="13" t="s">
        <v>800</v>
      </c>
      <c r="E928" s="12">
        <v>6880</v>
      </c>
      <c r="F928" s="21" t="s">
        <v>37</v>
      </c>
      <c r="G928" s="21" t="s">
        <v>72</v>
      </c>
      <c r="H928" s="21" t="s">
        <v>73</v>
      </c>
      <c r="I928" s="21" t="s">
        <v>90</v>
      </c>
      <c r="J928" s="68">
        <f>+MONTH(ExpenseTable[[#This Row],[Voucher Date]])</f>
        <v>7</v>
      </c>
      <c r="K928" s="68" t="s">
        <v>238</v>
      </c>
    </row>
    <row r="929" spans="1:11" x14ac:dyDescent="0.35">
      <c r="A929" s="15">
        <v>45860</v>
      </c>
      <c r="B929" s="11" t="s">
        <v>836</v>
      </c>
      <c r="C929" s="19">
        <v>45858</v>
      </c>
      <c r="D929" s="13" t="s">
        <v>837</v>
      </c>
      <c r="E929" s="12">
        <v>12000</v>
      </c>
      <c r="F929" s="21" t="s">
        <v>5</v>
      </c>
      <c r="G929" s="21" t="s">
        <v>72</v>
      </c>
      <c r="H929" s="21" t="s">
        <v>73</v>
      </c>
      <c r="I929" s="21" t="s">
        <v>90</v>
      </c>
      <c r="J929" s="68">
        <f>+MONTH(ExpenseTable[[#This Row],[Voucher Date]])</f>
        <v>7</v>
      </c>
      <c r="K929" s="68" t="s">
        <v>238</v>
      </c>
    </row>
    <row r="930" spans="1:11" x14ac:dyDescent="0.35">
      <c r="A930" s="15">
        <v>45861</v>
      </c>
      <c r="B930" s="11" t="s">
        <v>836</v>
      </c>
      <c r="C930" s="19">
        <v>45858</v>
      </c>
      <c r="D930" s="13" t="s">
        <v>288</v>
      </c>
      <c r="E930" s="12">
        <v>50000</v>
      </c>
      <c r="F930" s="21" t="s">
        <v>40</v>
      </c>
      <c r="G930" s="21" t="s">
        <v>72</v>
      </c>
      <c r="H930" s="21" t="s">
        <v>73</v>
      </c>
      <c r="I930" s="21" t="s">
        <v>90</v>
      </c>
      <c r="J930" s="68">
        <f>+MONTH(ExpenseTable[[#This Row],[Voucher Date]])</f>
        <v>7</v>
      </c>
      <c r="K930" s="68" t="s">
        <v>238</v>
      </c>
    </row>
    <row r="931" spans="1:11" x14ac:dyDescent="0.35">
      <c r="A931" s="15">
        <v>45861</v>
      </c>
      <c r="B931" s="11" t="s">
        <v>836</v>
      </c>
      <c r="C931" s="19">
        <v>45858</v>
      </c>
      <c r="D931" s="13" t="s">
        <v>840</v>
      </c>
      <c r="E931" s="12">
        <v>137000</v>
      </c>
      <c r="F931" s="21" t="s">
        <v>30</v>
      </c>
      <c r="G931" s="21" t="s">
        <v>72</v>
      </c>
      <c r="H931" s="21" t="s">
        <v>73</v>
      </c>
      <c r="I931" s="21" t="s">
        <v>90</v>
      </c>
      <c r="J931" s="68">
        <f>+MONTH(ExpenseTable[[#This Row],[Voucher Date]])</f>
        <v>7</v>
      </c>
      <c r="K931" s="68" t="s">
        <v>238</v>
      </c>
    </row>
    <row r="932" spans="1:11" x14ac:dyDescent="0.35">
      <c r="A932" s="15">
        <v>45866</v>
      </c>
      <c r="B932" s="11" t="s">
        <v>894</v>
      </c>
      <c r="C932" s="19">
        <v>45860</v>
      </c>
      <c r="D932" s="13" t="s">
        <v>897</v>
      </c>
      <c r="E932" s="12">
        <v>6000</v>
      </c>
      <c r="F932" s="21" t="s">
        <v>54</v>
      </c>
      <c r="G932" s="21" t="s">
        <v>72</v>
      </c>
      <c r="H932" s="21" t="s">
        <v>73</v>
      </c>
      <c r="I932" s="21" t="s">
        <v>91</v>
      </c>
      <c r="J932" s="68">
        <f>+MONTH(ExpenseTable[[#This Row],[Voucher Date]])</f>
        <v>7</v>
      </c>
      <c r="K932" s="13" t="s">
        <v>238</v>
      </c>
    </row>
    <row r="933" spans="1:11" x14ac:dyDescent="0.35">
      <c r="A933" s="15">
        <v>45868</v>
      </c>
      <c r="B933" s="11" t="s">
        <v>894</v>
      </c>
      <c r="C933" s="19">
        <v>45860</v>
      </c>
      <c r="D933" s="13" t="s">
        <v>899</v>
      </c>
      <c r="E933" s="12">
        <v>50000</v>
      </c>
      <c r="F933" s="21" t="s">
        <v>54</v>
      </c>
      <c r="G933" s="21" t="s">
        <v>72</v>
      </c>
      <c r="H933" s="21" t="s">
        <v>73</v>
      </c>
      <c r="I933" s="21" t="s">
        <v>91</v>
      </c>
      <c r="J933" s="68">
        <f>+MONTH(ExpenseTable[[#This Row],[Voucher Date]])</f>
        <v>7</v>
      </c>
      <c r="K933" s="13" t="s">
        <v>238</v>
      </c>
    </row>
    <row r="934" spans="1:11" x14ac:dyDescent="0.35">
      <c r="A934" s="15">
        <v>45860</v>
      </c>
      <c r="B934" s="11" t="s">
        <v>894</v>
      </c>
      <c r="C934" s="19">
        <v>45860</v>
      </c>
      <c r="D934" s="13" t="s">
        <v>895</v>
      </c>
      <c r="E934" s="12">
        <v>60000</v>
      </c>
      <c r="F934" s="21" t="s">
        <v>5</v>
      </c>
      <c r="G934" s="21" t="s">
        <v>72</v>
      </c>
      <c r="H934" s="21" t="s">
        <v>73</v>
      </c>
      <c r="I934" s="21" t="s">
        <v>91</v>
      </c>
      <c r="J934" s="68">
        <f>+MONTH(ExpenseTable[[#This Row],[Voucher Date]])</f>
        <v>7</v>
      </c>
      <c r="K934" s="13" t="s">
        <v>238</v>
      </c>
    </row>
    <row r="935" spans="1:11" x14ac:dyDescent="0.35">
      <c r="A935" s="15">
        <v>45861</v>
      </c>
      <c r="B935" s="11" t="s">
        <v>894</v>
      </c>
      <c r="C935" s="19">
        <v>45860</v>
      </c>
      <c r="D935" s="13" t="s">
        <v>896</v>
      </c>
      <c r="E935" s="12">
        <v>70000</v>
      </c>
      <c r="F935" s="21" t="s">
        <v>33</v>
      </c>
      <c r="G935" s="21" t="s">
        <v>72</v>
      </c>
      <c r="H935" s="21" t="s">
        <v>73</v>
      </c>
      <c r="I935" s="21" t="s">
        <v>91</v>
      </c>
      <c r="J935" s="68">
        <f>+MONTH(ExpenseTable[[#This Row],[Voucher Date]])</f>
        <v>7</v>
      </c>
      <c r="K935" s="13" t="s">
        <v>238</v>
      </c>
    </row>
    <row r="936" spans="1:11" x14ac:dyDescent="0.35">
      <c r="A936" s="15">
        <v>45866</v>
      </c>
      <c r="B936" s="11" t="s">
        <v>894</v>
      </c>
      <c r="C936" s="19">
        <v>45860</v>
      </c>
      <c r="D936" s="13" t="s">
        <v>898</v>
      </c>
      <c r="E936" s="12">
        <v>80000</v>
      </c>
      <c r="F936" s="21" t="s">
        <v>5</v>
      </c>
      <c r="G936" s="21" t="s">
        <v>72</v>
      </c>
      <c r="H936" s="21" t="s">
        <v>73</v>
      </c>
      <c r="I936" s="21" t="s">
        <v>91</v>
      </c>
      <c r="J936" s="68">
        <f>+MONTH(ExpenseTable[[#This Row],[Voucher Date]])</f>
        <v>7</v>
      </c>
      <c r="K936" s="13" t="s">
        <v>238</v>
      </c>
    </row>
    <row r="937" spans="1:11" x14ac:dyDescent="0.35">
      <c r="A937" s="15">
        <v>45868</v>
      </c>
      <c r="B937" s="11" t="s">
        <v>894</v>
      </c>
      <c r="C937" s="19">
        <v>45860</v>
      </c>
      <c r="D937" s="13" t="s">
        <v>900</v>
      </c>
      <c r="E937" s="12">
        <v>82800</v>
      </c>
      <c r="F937" s="21" t="s">
        <v>30</v>
      </c>
      <c r="G937" s="21" t="s">
        <v>72</v>
      </c>
      <c r="H937" s="21" t="s">
        <v>73</v>
      </c>
      <c r="I937" s="21" t="s">
        <v>91</v>
      </c>
      <c r="J937" s="68">
        <f>+MONTH(ExpenseTable[[#This Row],[Voucher Date]])</f>
        <v>7</v>
      </c>
      <c r="K937" s="13" t="s">
        <v>238</v>
      </c>
    </row>
    <row r="938" spans="1:11" x14ac:dyDescent="0.35">
      <c r="A938" s="15">
        <v>45861</v>
      </c>
      <c r="B938" s="11" t="s">
        <v>873</v>
      </c>
      <c r="C938" s="19">
        <v>45861</v>
      </c>
      <c r="D938" s="13" t="s">
        <v>157</v>
      </c>
      <c r="E938" s="12">
        <v>2200</v>
      </c>
      <c r="F938" s="21" t="s">
        <v>54</v>
      </c>
      <c r="G938" s="21" t="s">
        <v>67</v>
      </c>
      <c r="H938" s="21" t="s">
        <v>79</v>
      </c>
      <c r="I938" s="21" t="s">
        <v>90</v>
      </c>
      <c r="J938" s="68">
        <f>+MONTH(ExpenseTable[[#This Row],[Voucher Date]])</f>
        <v>7</v>
      </c>
      <c r="K938" s="13" t="s">
        <v>874</v>
      </c>
    </row>
    <row r="939" spans="1:11" x14ac:dyDescent="0.35">
      <c r="A939" s="15">
        <v>45863</v>
      </c>
      <c r="B939" s="11" t="s">
        <v>873</v>
      </c>
      <c r="C939" s="19">
        <v>45861</v>
      </c>
      <c r="D939" s="13" t="s">
        <v>157</v>
      </c>
      <c r="E939" s="12">
        <v>3000</v>
      </c>
      <c r="F939" s="21" t="s">
        <v>54</v>
      </c>
      <c r="G939" s="21" t="s">
        <v>97</v>
      </c>
      <c r="H939" s="21" t="s">
        <v>98</v>
      </c>
      <c r="I939" s="21" t="s">
        <v>90</v>
      </c>
      <c r="J939" s="68">
        <f>+MONTH(ExpenseTable[[#This Row],[Voucher Date]])</f>
        <v>7</v>
      </c>
      <c r="K939" s="13" t="s">
        <v>874</v>
      </c>
    </row>
    <row r="940" spans="1:11" x14ac:dyDescent="0.35">
      <c r="A940" s="15">
        <v>45863</v>
      </c>
      <c r="B940" s="11" t="s">
        <v>873</v>
      </c>
      <c r="C940" s="19">
        <v>45861</v>
      </c>
      <c r="D940" s="13" t="s">
        <v>288</v>
      </c>
      <c r="E940" s="12">
        <v>50000</v>
      </c>
      <c r="F940" s="21" t="s">
        <v>40</v>
      </c>
      <c r="G940" s="21" t="s">
        <v>72</v>
      </c>
      <c r="H940" s="21" t="s">
        <v>73</v>
      </c>
      <c r="I940" s="21" t="s">
        <v>90</v>
      </c>
      <c r="J940" s="68">
        <f>+MONTH(ExpenseTable[[#This Row],[Voucher Date]])</f>
        <v>7</v>
      </c>
      <c r="K940" s="13" t="s">
        <v>874</v>
      </c>
    </row>
    <row r="941" spans="1:11" x14ac:dyDescent="0.35">
      <c r="A941" s="15">
        <v>45868</v>
      </c>
      <c r="B941" s="11" t="s">
        <v>957</v>
      </c>
      <c r="C941" s="19">
        <v>45868</v>
      </c>
      <c r="D941" s="13" t="s">
        <v>958</v>
      </c>
      <c r="E941" s="12">
        <v>4000</v>
      </c>
      <c r="F941" s="21" t="s">
        <v>22</v>
      </c>
      <c r="G941" s="21" t="s">
        <v>72</v>
      </c>
      <c r="H941" s="21" t="s">
        <v>73</v>
      </c>
      <c r="I941" s="21" t="s">
        <v>1123</v>
      </c>
      <c r="J941" s="68">
        <f>+MONTH(ExpenseTable[[#This Row],[Voucher Date]])</f>
        <v>7</v>
      </c>
      <c r="K941" s="13" t="s">
        <v>238</v>
      </c>
    </row>
    <row r="942" spans="1:11" x14ac:dyDescent="0.35">
      <c r="A942" s="15">
        <v>45868</v>
      </c>
      <c r="B942" s="11" t="s">
        <v>957</v>
      </c>
      <c r="C942" s="19">
        <v>45868</v>
      </c>
      <c r="D942" s="13" t="s">
        <v>294</v>
      </c>
      <c r="E942" s="12">
        <v>12000</v>
      </c>
      <c r="F942" s="21" t="s">
        <v>30</v>
      </c>
      <c r="G942" s="21" t="s">
        <v>72</v>
      </c>
      <c r="H942" s="21" t="s">
        <v>73</v>
      </c>
      <c r="I942" s="21" t="s">
        <v>1123</v>
      </c>
      <c r="J942" s="68">
        <f>+MONTH(ExpenseTable[[#This Row],[Voucher Date]])</f>
        <v>7</v>
      </c>
      <c r="K942" s="13" t="s">
        <v>238</v>
      </c>
    </row>
    <row r="943" spans="1:11" x14ac:dyDescent="0.35">
      <c r="A943" s="15">
        <v>45868</v>
      </c>
      <c r="B943" s="11" t="s">
        <v>957</v>
      </c>
      <c r="C943" s="19">
        <v>45868</v>
      </c>
      <c r="D943" s="13" t="s">
        <v>959</v>
      </c>
      <c r="E943" s="12">
        <v>16000</v>
      </c>
      <c r="F943" s="21" t="s">
        <v>30</v>
      </c>
      <c r="G943" s="21" t="s">
        <v>72</v>
      </c>
      <c r="H943" s="21" t="s">
        <v>73</v>
      </c>
      <c r="I943" s="21" t="s">
        <v>1123</v>
      </c>
      <c r="J943" s="68">
        <f>+MONTH(ExpenseTable[[#This Row],[Voucher Date]])</f>
        <v>7</v>
      </c>
      <c r="K943" s="13" t="s">
        <v>238</v>
      </c>
    </row>
    <row r="944" spans="1:11" x14ac:dyDescent="0.35">
      <c r="A944" s="15">
        <v>45869</v>
      </c>
      <c r="B944" s="11" t="s">
        <v>957</v>
      </c>
      <c r="C944" s="19">
        <v>45868</v>
      </c>
      <c r="D944" s="13" t="s">
        <v>960</v>
      </c>
      <c r="E944" s="12">
        <v>136000</v>
      </c>
      <c r="F944" s="21" t="s">
        <v>54</v>
      </c>
      <c r="G944" s="21" t="s">
        <v>80</v>
      </c>
      <c r="H944" s="21" t="s">
        <v>89</v>
      </c>
      <c r="I944" s="21" t="s">
        <v>1123</v>
      </c>
      <c r="J944" s="68">
        <f>+MONTH(ExpenseTable[[#This Row],[Voucher Date]])</f>
        <v>7</v>
      </c>
      <c r="K944" s="13" t="s">
        <v>238</v>
      </c>
    </row>
    <row r="945" spans="1:11" x14ac:dyDescent="0.35">
      <c r="A945" s="15">
        <v>45874</v>
      </c>
      <c r="B945" s="11" t="s">
        <v>923</v>
      </c>
      <c r="C945" s="19">
        <v>45870</v>
      </c>
      <c r="D945" s="13" t="s">
        <v>930</v>
      </c>
      <c r="E945" s="12">
        <v>500</v>
      </c>
      <c r="F945" s="21" t="s">
        <v>22</v>
      </c>
      <c r="G945" s="21" t="s">
        <v>72</v>
      </c>
      <c r="H945" s="21" t="s">
        <v>73</v>
      </c>
      <c r="I945" s="21" t="s">
        <v>90</v>
      </c>
      <c r="J945" s="68">
        <f>+MONTH(ExpenseTable[[#This Row],[Voucher Date]])</f>
        <v>8</v>
      </c>
      <c r="K945" s="13" t="s">
        <v>238</v>
      </c>
    </row>
    <row r="946" spans="1:11" x14ac:dyDescent="0.35">
      <c r="A946" s="15">
        <v>45874</v>
      </c>
      <c r="B946" s="11" t="s">
        <v>923</v>
      </c>
      <c r="C946" s="19">
        <v>45870</v>
      </c>
      <c r="D946" s="13" t="s">
        <v>820</v>
      </c>
      <c r="E946" s="12">
        <v>1000</v>
      </c>
      <c r="F946" s="21" t="s">
        <v>5</v>
      </c>
      <c r="G946" s="21" t="s">
        <v>72</v>
      </c>
      <c r="H946" s="21" t="s">
        <v>73</v>
      </c>
      <c r="I946" s="21" t="s">
        <v>90</v>
      </c>
      <c r="J946" s="68">
        <f>+MONTH(ExpenseTable[[#This Row],[Voucher Date]])</f>
        <v>8</v>
      </c>
      <c r="K946" s="13" t="s">
        <v>238</v>
      </c>
    </row>
    <row r="947" spans="1:11" x14ac:dyDescent="0.35">
      <c r="A947" s="15">
        <v>45873</v>
      </c>
      <c r="B947" s="11" t="s">
        <v>923</v>
      </c>
      <c r="C947" s="19">
        <v>45870</v>
      </c>
      <c r="D947" s="13" t="s">
        <v>927</v>
      </c>
      <c r="E947" s="12">
        <v>3500</v>
      </c>
      <c r="F947" s="21" t="s">
        <v>37</v>
      </c>
      <c r="G947" s="21" t="s">
        <v>72</v>
      </c>
      <c r="H947" s="21" t="s">
        <v>73</v>
      </c>
      <c r="I947" s="21" t="s">
        <v>90</v>
      </c>
      <c r="J947" s="68">
        <f>+MONTH(ExpenseTable[[#This Row],[Voucher Date]])</f>
        <v>8</v>
      </c>
      <c r="K947" s="13" t="s">
        <v>238</v>
      </c>
    </row>
    <row r="948" spans="1:11" x14ac:dyDescent="0.35">
      <c r="A948" s="15">
        <v>45870</v>
      </c>
      <c r="B948" s="11" t="s">
        <v>923</v>
      </c>
      <c r="C948" s="19">
        <v>45870</v>
      </c>
      <c r="D948" s="13" t="s">
        <v>925</v>
      </c>
      <c r="E948" s="12">
        <v>4250</v>
      </c>
      <c r="F948" s="21" t="s">
        <v>27</v>
      </c>
      <c r="G948" s="21" t="s">
        <v>72</v>
      </c>
      <c r="H948" s="21" t="s">
        <v>73</v>
      </c>
      <c r="I948" s="21" t="s">
        <v>90</v>
      </c>
      <c r="J948" s="68">
        <f>+MONTH(ExpenseTable[[#This Row],[Voucher Date]])</f>
        <v>8</v>
      </c>
      <c r="K948" s="13" t="s">
        <v>238</v>
      </c>
    </row>
    <row r="949" spans="1:11" x14ac:dyDescent="0.35">
      <c r="A949" s="15">
        <v>45873</v>
      </c>
      <c r="B949" s="11" t="s">
        <v>923</v>
      </c>
      <c r="C949" s="19">
        <v>45870</v>
      </c>
      <c r="D949" s="13" t="s">
        <v>928</v>
      </c>
      <c r="E949" s="12">
        <v>7000</v>
      </c>
      <c r="F949" s="21" t="s">
        <v>32</v>
      </c>
      <c r="G949" s="21" t="s">
        <v>72</v>
      </c>
      <c r="H949" s="21" t="s">
        <v>73</v>
      </c>
      <c r="I949" s="21" t="s">
        <v>90</v>
      </c>
      <c r="J949" s="68">
        <f>+MONTH(ExpenseTable[[#This Row],[Voucher Date]])</f>
        <v>8</v>
      </c>
      <c r="K949" s="13" t="s">
        <v>238</v>
      </c>
    </row>
    <row r="950" spans="1:11" x14ac:dyDescent="0.35">
      <c r="A950" s="15">
        <v>45873</v>
      </c>
      <c r="B950" s="11" t="s">
        <v>923</v>
      </c>
      <c r="C950" s="19">
        <v>45870</v>
      </c>
      <c r="D950" s="13" t="s">
        <v>926</v>
      </c>
      <c r="E950" s="12">
        <v>17000</v>
      </c>
      <c r="F950" s="21" t="s">
        <v>31</v>
      </c>
      <c r="G950" s="21" t="s">
        <v>72</v>
      </c>
      <c r="H950" s="21" t="s">
        <v>73</v>
      </c>
      <c r="I950" s="21" t="s">
        <v>90</v>
      </c>
      <c r="J950" s="68">
        <f>+MONTH(ExpenseTable[[#This Row],[Voucher Date]])</f>
        <v>8</v>
      </c>
      <c r="K950" s="13" t="s">
        <v>238</v>
      </c>
    </row>
    <row r="951" spans="1:11" x14ac:dyDescent="0.35">
      <c r="A951" s="15">
        <v>45874</v>
      </c>
      <c r="B951" s="11" t="s">
        <v>923</v>
      </c>
      <c r="C951" s="19">
        <v>45870</v>
      </c>
      <c r="D951" s="13" t="s">
        <v>929</v>
      </c>
      <c r="E951" s="12">
        <v>20000</v>
      </c>
      <c r="F951" s="21" t="s">
        <v>21</v>
      </c>
      <c r="G951" s="21" t="s">
        <v>72</v>
      </c>
      <c r="H951" s="21" t="s">
        <v>73</v>
      </c>
      <c r="I951" s="21" t="s">
        <v>90</v>
      </c>
      <c r="J951" s="68">
        <f>+MONTH(ExpenseTable[[#This Row],[Voucher Date]])</f>
        <v>8</v>
      </c>
      <c r="K951" s="13" t="s">
        <v>238</v>
      </c>
    </row>
    <row r="952" spans="1:11" x14ac:dyDescent="0.35">
      <c r="A952" s="15">
        <v>45870</v>
      </c>
      <c r="B952" s="11" t="s">
        <v>923</v>
      </c>
      <c r="C952" s="19">
        <v>45870</v>
      </c>
      <c r="D952" s="13" t="s">
        <v>924</v>
      </c>
      <c r="E952" s="12">
        <v>35000</v>
      </c>
      <c r="F952" s="21" t="s">
        <v>22</v>
      </c>
      <c r="G952" s="21" t="s">
        <v>72</v>
      </c>
      <c r="H952" s="21" t="s">
        <v>73</v>
      </c>
      <c r="I952" s="21" t="s">
        <v>90</v>
      </c>
      <c r="J952" s="68">
        <f>+MONTH(ExpenseTable[[#This Row],[Voucher Date]])</f>
        <v>8</v>
      </c>
      <c r="K952" s="13" t="s">
        <v>238</v>
      </c>
    </row>
    <row r="953" spans="1:11" x14ac:dyDescent="0.35">
      <c r="A953" s="15">
        <v>45880</v>
      </c>
      <c r="B953" s="11" t="s">
        <v>961</v>
      </c>
      <c r="C953" s="19">
        <v>45870</v>
      </c>
      <c r="D953" s="13" t="s">
        <v>966</v>
      </c>
      <c r="E953" s="12">
        <v>5000</v>
      </c>
      <c r="F953" s="21" t="s">
        <v>47</v>
      </c>
      <c r="G953" s="21" t="s">
        <v>72</v>
      </c>
      <c r="H953" s="21" t="s">
        <v>73</v>
      </c>
      <c r="I953" s="21" t="s">
        <v>1123</v>
      </c>
      <c r="J953" s="68">
        <f>+MONTH(ExpenseTable[[#This Row],[Voucher Date]])</f>
        <v>8</v>
      </c>
      <c r="K953" s="13" t="s">
        <v>238</v>
      </c>
    </row>
    <row r="954" spans="1:11" x14ac:dyDescent="0.35">
      <c r="A954" s="15">
        <v>45880</v>
      </c>
      <c r="B954" s="11" t="s">
        <v>961</v>
      </c>
      <c r="C954" s="19">
        <v>45870</v>
      </c>
      <c r="D954" s="13" t="s">
        <v>968</v>
      </c>
      <c r="E954" s="12">
        <v>10000</v>
      </c>
      <c r="F954" s="21" t="s">
        <v>54</v>
      </c>
      <c r="G954" s="21" t="s">
        <v>915</v>
      </c>
      <c r="H954" s="21" t="s">
        <v>914</v>
      </c>
      <c r="I954" s="21" t="s">
        <v>1123</v>
      </c>
      <c r="J954" s="68">
        <f>+MONTH(ExpenseTable[[#This Row],[Voucher Date]])</f>
        <v>8</v>
      </c>
      <c r="K954" s="13" t="s">
        <v>238</v>
      </c>
    </row>
    <row r="955" spans="1:11" x14ac:dyDescent="0.35">
      <c r="A955" s="15">
        <v>45871</v>
      </c>
      <c r="B955" s="11" t="s">
        <v>961</v>
      </c>
      <c r="C955" s="19">
        <v>45870</v>
      </c>
      <c r="D955" s="13" t="s">
        <v>965</v>
      </c>
      <c r="E955" s="12">
        <v>25000</v>
      </c>
      <c r="F955" s="21" t="s">
        <v>30</v>
      </c>
      <c r="G955" s="21" t="s">
        <v>72</v>
      </c>
      <c r="H955" s="21" t="s">
        <v>73</v>
      </c>
      <c r="I955" s="21" t="s">
        <v>1123</v>
      </c>
      <c r="J955" s="68">
        <f>+MONTH(ExpenseTable[[#This Row],[Voucher Date]])</f>
        <v>8</v>
      </c>
      <c r="K955" s="13" t="s">
        <v>238</v>
      </c>
    </row>
    <row r="956" spans="1:11" x14ac:dyDescent="0.35">
      <c r="A956" s="15">
        <v>45880</v>
      </c>
      <c r="B956" s="11" t="s">
        <v>961</v>
      </c>
      <c r="C956" s="19">
        <v>45870</v>
      </c>
      <c r="D956" s="13" t="s">
        <v>967</v>
      </c>
      <c r="E956" s="12">
        <v>45000</v>
      </c>
      <c r="F956" s="21" t="s">
        <v>22</v>
      </c>
      <c r="G956" s="21" t="s">
        <v>72</v>
      </c>
      <c r="H956" s="21" t="s">
        <v>73</v>
      </c>
      <c r="I956" s="21" t="s">
        <v>1123</v>
      </c>
      <c r="J956" s="68">
        <f>+MONTH(ExpenseTable[[#This Row],[Voucher Date]])</f>
        <v>8</v>
      </c>
      <c r="K956" s="13" t="s">
        <v>238</v>
      </c>
    </row>
    <row r="957" spans="1:11" x14ac:dyDescent="0.35">
      <c r="A957" s="15">
        <v>45870</v>
      </c>
      <c r="B957" s="11" t="s">
        <v>961</v>
      </c>
      <c r="C957" s="19">
        <v>45870</v>
      </c>
      <c r="D957" s="13" t="s">
        <v>963</v>
      </c>
      <c r="E957" s="12">
        <v>95000</v>
      </c>
      <c r="F957" s="21" t="s">
        <v>54</v>
      </c>
      <c r="G957" s="21" t="s">
        <v>80</v>
      </c>
      <c r="H957" s="21" t="s">
        <v>89</v>
      </c>
      <c r="I957" s="21" t="s">
        <v>1123</v>
      </c>
      <c r="J957" s="68">
        <f>+MONTH(ExpenseTable[[#This Row],[Voucher Date]])</f>
        <v>8</v>
      </c>
      <c r="K957" s="13" t="s">
        <v>238</v>
      </c>
    </row>
    <row r="958" spans="1:11" x14ac:dyDescent="0.35">
      <c r="A958" s="15">
        <v>45871</v>
      </c>
      <c r="B958" s="11" t="s">
        <v>961</v>
      </c>
      <c r="C958" s="19">
        <v>45870</v>
      </c>
      <c r="D958" s="13" t="s">
        <v>964</v>
      </c>
      <c r="E958" s="12">
        <v>95400</v>
      </c>
      <c r="F958" s="21" t="s">
        <v>54</v>
      </c>
      <c r="G958" s="21" t="s">
        <v>80</v>
      </c>
      <c r="H958" s="21" t="s">
        <v>89</v>
      </c>
      <c r="I958" s="21" t="s">
        <v>1123</v>
      </c>
      <c r="J958" s="68">
        <f>+MONTH(ExpenseTable[[#This Row],[Voucher Date]])</f>
        <v>8</v>
      </c>
      <c r="K958" s="13" t="s">
        <v>238</v>
      </c>
    </row>
    <row r="959" spans="1:11" x14ac:dyDescent="0.35">
      <c r="A959" s="15">
        <v>45880</v>
      </c>
      <c r="B959" s="11" t="s">
        <v>961</v>
      </c>
      <c r="C959" s="19">
        <v>45870</v>
      </c>
      <c r="D959" s="13" t="s">
        <v>227</v>
      </c>
      <c r="E959" s="12">
        <v>130000</v>
      </c>
      <c r="F959" s="21" t="s">
        <v>54</v>
      </c>
      <c r="G959" s="21" t="s">
        <v>915</v>
      </c>
      <c r="H959" s="21" t="s">
        <v>914</v>
      </c>
      <c r="I959" s="21" t="s">
        <v>1123</v>
      </c>
      <c r="J959" s="68">
        <f>+MONTH(ExpenseTable[[#This Row],[Voucher Date]])</f>
        <v>8</v>
      </c>
      <c r="K959" s="13" t="s">
        <v>238</v>
      </c>
    </row>
    <row r="960" spans="1:11" x14ac:dyDescent="0.35">
      <c r="A960" s="15">
        <v>45879</v>
      </c>
      <c r="B960" s="11" t="s">
        <v>961</v>
      </c>
      <c r="C960" s="19">
        <v>45870</v>
      </c>
      <c r="D960" s="13" t="s">
        <v>969</v>
      </c>
      <c r="E960" s="12">
        <v>500000</v>
      </c>
      <c r="F960" s="21" t="s">
        <v>96</v>
      </c>
      <c r="G960" s="21" t="s">
        <v>72</v>
      </c>
      <c r="H960" s="21" t="s">
        <v>73</v>
      </c>
      <c r="I960" s="21" t="s">
        <v>1123</v>
      </c>
      <c r="J960" s="68">
        <f>+MONTH(ExpenseTable[[#This Row],[Voucher Date]])</f>
        <v>8</v>
      </c>
      <c r="K960" s="13" t="s">
        <v>238</v>
      </c>
    </row>
    <row r="961" spans="1:11" x14ac:dyDescent="0.35">
      <c r="A961" s="15">
        <v>45882</v>
      </c>
      <c r="B961" s="11" t="s">
        <v>1047</v>
      </c>
      <c r="C961" s="19">
        <v>45870</v>
      </c>
      <c r="D961" s="13" t="s">
        <v>288</v>
      </c>
      <c r="E961" s="12">
        <v>30000</v>
      </c>
      <c r="F961" s="21" t="s">
        <v>54</v>
      </c>
      <c r="G961" s="21" t="s">
        <v>915</v>
      </c>
      <c r="H961" s="21" t="s">
        <v>914</v>
      </c>
      <c r="I961" s="21" t="s">
        <v>91</v>
      </c>
      <c r="J961" s="68">
        <f>+MONTH(ExpenseTable[[#This Row],[Voucher Date]])</f>
        <v>8</v>
      </c>
      <c r="K961" s="13" t="s">
        <v>238</v>
      </c>
    </row>
    <row r="962" spans="1:11" x14ac:dyDescent="0.35">
      <c r="A962" s="15">
        <v>45870</v>
      </c>
      <c r="B962" s="11" t="s">
        <v>1047</v>
      </c>
      <c r="C962" s="19">
        <v>45870</v>
      </c>
      <c r="D962" s="13" t="s">
        <v>1050</v>
      </c>
      <c r="E962" s="12">
        <v>100000</v>
      </c>
      <c r="F962" s="21" t="s">
        <v>54</v>
      </c>
      <c r="G962" s="21" t="s">
        <v>915</v>
      </c>
      <c r="H962" s="21" t="s">
        <v>914</v>
      </c>
      <c r="I962" s="21" t="s">
        <v>91</v>
      </c>
      <c r="J962" s="68">
        <f>+MONTH(ExpenseTable[[#This Row],[Voucher Date]])</f>
        <v>8</v>
      </c>
      <c r="K962" s="13" t="s">
        <v>238</v>
      </c>
    </row>
    <row r="963" spans="1:11" x14ac:dyDescent="0.35">
      <c r="A963" s="15">
        <v>45887</v>
      </c>
      <c r="B963" s="11" t="s">
        <v>1047</v>
      </c>
      <c r="C963" s="19">
        <v>45870</v>
      </c>
      <c r="D963" s="13" t="s">
        <v>1053</v>
      </c>
      <c r="E963" s="12">
        <v>115650</v>
      </c>
      <c r="F963" s="21" t="s">
        <v>26</v>
      </c>
      <c r="G963" s="21" t="s">
        <v>72</v>
      </c>
      <c r="H963" s="21" t="s">
        <v>73</v>
      </c>
      <c r="I963" s="21" t="s">
        <v>91</v>
      </c>
      <c r="J963" s="68">
        <f>+MONTH(ExpenseTable[[#This Row],[Voucher Date]])</f>
        <v>8</v>
      </c>
      <c r="K963" s="13" t="s">
        <v>238</v>
      </c>
    </row>
    <row r="964" spans="1:11" x14ac:dyDescent="0.35">
      <c r="A964" s="15">
        <v>45887</v>
      </c>
      <c r="B964" s="11" t="s">
        <v>1047</v>
      </c>
      <c r="C964" s="19">
        <v>45870</v>
      </c>
      <c r="D964" s="13" t="s">
        <v>1052</v>
      </c>
      <c r="E964" s="12">
        <v>147442.03</v>
      </c>
      <c r="F964" s="21" t="s">
        <v>56</v>
      </c>
      <c r="G964" s="21" t="s">
        <v>72</v>
      </c>
      <c r="H964" s="21" t="s">
        <v>73</v>
      </c>
      <c r="I964" s="21" t="s">
        <v>91</v>
      </c>
      <c r="J964" s="68">
        <f>+MONTH(ExpenseTable[[#This Row],[Voucher Date]])</f>
        <v>8</v>
      </c>
      <c r="K964" s="13" t="s">
        <v>238</v>
      </c>
    </row>
    <row r="965" spans="1:11" x14ac:dyDescent="0.35">
      <c r="A965" s="15">
        <v>45870</v>
      </c>
      <c r="B965" s="11" t="s">
        <v>1047</v>
      </c>
      <c r="C965" s="19">
        <v>45870</v>
      </c>
      <c r="D965" s="13" t="s">
        <v>1048</v>
      </c>
      <c r="E965" s="12">
        <v>300000</v>
      </c>
      <c r="F965" s="21" t="s">
        <v>38</v>
      </c>
      <c r="G965" s="21" t="s">
        <v>72</v>
      </c>
      <c r="H965" s="21" t="s">
        <v>73</v>
      </c>
      <c r="I965" s="21" t="s">
        <v>91</v>
      </c>
      <c r="J965" s="68">
        <f>+MONTH(ExpenseTable[[#This Row],[Voucher Date]])</f>
        <v>8</v>
      </c>
      <c r="K965" s="13" t="s">
        <v>238</v>
      </c>
    </row>
    <row r="966" spans="1:11" x14ac:dyDescent="0.35">
      <c r="A966" s="15">
        <v>45890</v>
      </c>
      <c r="B966" s="11" t="s">
        <v>1047</v>
      </c>
      <c r="C966" s="19">
        <v>45870</v>
      </c>
      <c r="D966" s="13" t="s">
        <v>1054</v>
      </c>
      <c r="E966" s="12">
        <v>300000</v>
      </c>
      <c r="F966" s="21" t="s">
        <v>96</v>
      </c>
      <c r="G966" s="21" t="s">
        <v>67</v>
      </c>
      <c r="H966" s="21" t="s">
        <v>79</v>
      </c>
      <c r="I966" s="21" t="s">
        <v>91</v>
      </c>
      <c r="J966" s="68">
        <f>+MONTH(ExpenseTable[[#This Row],[Voucher Date]])</f>
        <v>8</v>
      </c>
      <c r="K966" s="13" t="s">
        <v>238</v>
      </c>
    </row>
    <row r="967" spans="1:11" x14ac:dyDescent="0.35">
      <c r="A967" s="15">
        <v>45870</v>
      </c>
      <c r="B967" s="11" t="s">
        <v>1047</v>
      </c>
      <c r="C967" s="19">
        <v>45870</v>
      </c>
      <c r="D967" s="13" t="s">
        <v>1049</v>
      </c>
      <c r="E967" s="12">
        <v>385000</v>
      </c>
      <c r="F967" s="21" t="s">
        <v>38</v>
      </c>
      <c r="G967" s="21" t="s">
        <v>72</v>
      </c>
      <c r="H967" s="21" t="s">
        <v>73</v>
      </c>
      <c r="I967" s="21" t="s">
        <v>91</v>
      </c>
      <c r="J967" s="68">
        <f>+MONTH(ExpenseTable[[#This Row],[Voucher Date]])</f>
        <v>8</v>
      </c>
      <c r="K967" s="13" t="s">
        <v>238</v>
      </c>
    </row>
    <row r="968" spans="1:11" x14ac:dyDescent="0.35">
      <c r="A968" s="15">
        <v>45884</v>
      </c>
      <c r="B968" s="11" t="s">
        <v>1047</v>
      </c>
      <c r="C968" s="19">
        <v>45870</v>
      </c>
      <c r="D968" s="13" t="s">
        <v>1051</v>
      </c>
      <c r="E968" s="12">
        <v>595000</v>
      </c>
      <c r="F968" s="21" t="s">
        <v>26</v>
      </c>
      <c r="G968" s="21" t="s">
        <v>72</v>
      </c>
      <c r="H968" s="21" t="s">
        <v>73</v>
      </c>
      <c r="I968" s="21" t="s">
        <v>91</v>
      </c>
      <c r="J968" s="68">
        <f>+MONTH(ExpenseTable[[#This Row],[Voucher Date]])</f>
        <v>8</v>
      </c>
      <c r="K968" s="13" t="s">
        <v>238</v>
      </c>
    </row>
    <row r="969" spans="1:11" x14ac:dyDescent="0.35">
      <c r="A969" s="15">
        <v>45876</v>
      </c>
      <c r="B969" s="11" t="s">
        <v>935</v>
      </c>
      <c r="C969" s="19">
        <v>45874</v>
      </c>
      <c r="D969" s="13" t="s">
        <v>940</v>
      </c>
      <c r="E969" s="12">
        <v>1000</v>
      </c>
      <c r="F969" s="21" t="s">
        <v>49</v>
      </c>
      <c r="G969" s="21" t="s">
        <v>72</v>
      </c>
      <c r="H969" s="21" t="s">
        <v>73</v>
      </c>
      <c r="I969" s="21" t="s">
        <v>90</v>
      </c>
      <c r="J969" s="68">
        <f>+MONTH(ExpenseTable[[#This Row],[Voucher Date]])</f>
        <v>8</v>
      </c>
      <c r="K969" s="13" t="s">
        <v>238</v>
      </c>
    </row>
    <row r="970" spans="1:11" x14ac:dyDescent="0.35">
      <c r="A970" s="15">
        <v>45874</v>
      </c>
      <c r="B970" s="11" t="s">
        <v>935</v>
      </c>
      <c r="C970" s="19">
        <v>45874</v>
      </c>
      <c r="D970" s="13" t="s">
        <v>218</v>
      </c>
      <c r="E970" s="12">
        <v>3600</v>
      </c>
      <c r="F970" s="21" t="s">
        <v>21</v>
      </c>
      <c r="G970" s="21" t="s">
        <v>72</v>
      </c>
      <c r="H970" s="21" t="s">
        <v>73</v>
      </c>
      <c r="I970" s="21" t="s">
        <v>90</v>
      </c>
      <c r="J970" s="68">
        <f>+MONTH(ExpenseTable[[#This Row],[Voucher Date]])</f>
        <v>8</v>
      </c>
      <c r="K970" s="13" t="s">
        <v>238</v>
      </c>
    </row>
    <row r="971" spans="1:11" x14ac:dyDescent="0.35">
      <c r="A971" s="15">
        <v>45876</v>
      </c>
      <c r="B971" s="11" t="s">
        <v>935</v>
      </c>
      <c r="C971" s="19">
        <v>45874</v>
      </c>
      <c r="D971" s="13" t="s">
        <v>937</v>
      </c>
      <c r="E971" s="12">
        <v>10000</v>
      </c>
      <c r="F971" s="21" t="s">
        <v>54</v>
      </c>
      <c r="G971" s="21" t="s">
        <v>915</v>
      </c>
      <c r="H971" s="21" t="s">
        <v>914</v>
      </c>
      <c r="I971" s="21" t="s">
        <v>90</v>
      </c>
      <c r="J971" s="68">
        <f>+MONTH(ExpenseTable[[#This Row],[Voucher Date]])</f>
        <v>8</v>
      </c>
      <c r="K971" s="13" t="s">
        <v>238</v>
      </c>
    </row>
    <row r="972" spans="1:11" x14ac:dyDescent="0.35">
      <c r="A972" s="15">
        <v>45876</v>
      </c>
      <c r="B972" s="11" t="s">
        <v>935</v>
      </c>
      <c r="C972" s="19">
        <v>45874</v>
      </c>
      <c r="D972" s="13" t="s">
        <v>938</v>
      </c>
      <c r="E972" s="12">
        <v>10000</v>
      </c>
      <c r="F972" s="21" t="s">
        <v>54</v>
      </c>
      <c r="G972" s="21" t="s">
        <v>915</v>
      </c>
      <c r="H972" s="21" t="s">
        <v>914</v>
      </c>
      <c r="I972" s="21" t="s">
        <v>90</v>
      </c>
      <c r="J972" s="68">
        <f>+MONTH(ExpenseTable[[#This Row],[Voucher Date]])</f>
        <v>8</v>
      </c>
      <c r="K972" s="13" t="s">
        <v>238</v>
      </c>
    </row>
    <row r="973" spans="1:11" x14ac:dyDescent="0.35">
      <c r="A973" s="15">
        <v>45877</v>
      </c>
      <c r="B973" s="11" t="s">
        <v>935</v>
      </c>
      <c r="C973" s="19">
        <v>45874</v>
      </c>
      <c r="D973" s="13" t="s">
        <v>941</v>
      </c>
      <c r="E973" s="12">
        <v>10200</v>
      </c>
      <c r="F973" s="21" t="s">
        <v>21</v>
      </c>
      <c r="G973" s="21" t="s">
        <v>72</v>
      </c>
      <c r="H973" s="21" t="s">
        <v>73</v>
      </c>
      <c r="I973" s="21" t="s">
        <v>90</v>
      </c>
      <c r="J973" s="68">
        <f>+MONTH(ExpenseTable[[#This Row],[Voucher Date]])</f>
        <v>8</v>
      </c>
      <c r="K973" s="13" t="s">
        <v>238</v>
      </c>
    </row>
    <row r="974" spans="1:11" x14ac:dyDescent="0.35">
      <c r="A974" s="15">
        <v>45876</v>
      </c>
      <c r="B974" s="11" t="s">
        <v>935</v>
      </c>
      <c r="C974" s="19">
        <v>45874</v>
      </c>
      <c r="D974" s="13" t="s">
        <v>171</v>
      </c>
      <c r="E974" s="12">
        <v>20000</v>
      </c>
      <c r="F974" s="21" t="s">
        <v>54</v>
      </c>
      <c r="G974" s="21" t="s">
        <v>915</v>
      </c>
      <c r="H974" s="21" t="s">
        <v>914</v>
      </c>
      <c r="I974" s="21" t="s">
        <v>90</v>
      </c>
      <c r="J974" s="68">
        <f>+MONTH(ExpenseTable[[#This Row],[Voucher Date]])</f>
        <v>8</v>
      </c>
      <c r="K974" s="13" t="s">
        <v>238</v>
      </c>
    </row>
    <row r="975" spans="1:11" x14ac:dyDescent="0.35">
      <c r="A975" s="15">
        <v>45876</v>
      </c>
      <c r="B975" s="11" t="s">
        <v>935</v>
      </c>
      <c r="C975" s="19">
        <v>45874</v>
      </c>
      <c r="D975" s="13" t="s">
        <v>939</v>
      </c>
      <c r="E975" s="12">
        <v>20000</v>
      </c>
      <c r="F975" s="21" t="s">
        <v>54</v>
      </c>
      <c r="G975" s="21" t="s">
        <v>915</v>
      </c>
      <c r="H975" s="21" t="s">
        <v>914</v>
      </c>
      <c r="I975" s="21" t="s">
        <v>90</v>
      </c>
      <c r="J975" s="68">
        <f>+MONTH(ExpenseTable[[#This Row],[Voucher Date]])</f>
        <v>8</v>
      </c>
      <c r="K975" s="13" t="s">
        <v>238</v>
      </c>
    </row>
    <row r="976" spans="1:11" x14ac:dyDescent="0.35">
      <c r="A976" s="15">
        <v>45876</v>
      </c>
      <c r="B976" s="11" t="s">
        <v>935</v>
      </c>
      <c r="C976" s="19">
        <v>45874</v>
      </c>
      <c r="D976" s="13" t="s">
        <v>936</v>
      </c>
      <c r="E976" s="12">
        <v>80000</v>
      </c>
      <c r="F976" s="21" t="s">
        <v>96</v>
      </c>
      <c r="G976" s="21" t="s">
        <v>72</v>
      </c>
      <c r="H976" s="21" t="s">
        <v>73</v>
      </c>
      <c r="I976" s="21" t="s">
        <v>90</v>
      </c>
      <c r="J976" s="68">
        <f>+MONTH(ExpenseTable[[#This Row],[Voucher Date]])</f>
        <v>8</v>
      </c>
      <c r="K976" s="13" t="s">
        <v>238</v>
      </c>
    </row>
    <row r="977" spans="1:11" x14ac:dyDescent="0.35">
      <c r="A977" s="15">
        <v>45880</v>
      </c>
      <c r="B977" s="11" t="s">
        <v>931</v>
      </c>
      <c r="C977" s="19">
        <v>45876</v>
      </c>
      <c r="D977" s="13" t="s">
        <v>933</v>
      </c>
      <c r="E977" s="12">
        <v>15000</v>
      </c>
      <c r="F977" s="21" t="s">
        <v>5</v>
      </c>
      <c r="G977" s="21" t="s">
        <v>72</v>
      </c>
      <c r="H977" s="21" t="s">
        <v>73</v>
      </c>
      <c r="I977" s="21" t="s">
        <v>1123</v>
      </c>
      <c r="J977" s="68">
        <f>+MONTH(ExpenseTable[[#This Row],[Voucher Date]])</f>
        <v>8</v>
      </c>
      <c r="K977" s="13" t="s">
        <v>238</v>
      </c>
    </row>
    <row r="978" spans="1:11" x14ac:dyDescent="0.35">
      <c r="A978" s="15">
        <v>45882</v>
      </c>
      <c r="B978" s="11" t="s">
        <v>931</v>
      </c>
      <c r="C978" s="19">
        <v>45876</v>
      </c>
      <c r="D978" s="13" t="s">
        <v>171</v>
      </c>
      <c r="E978" s="12">
        <v>15000</v>
      </c>
      <c r="F978" s="21" t="s">
        <v>54</v>
      </c>
      <c r="G978" s="21" t="s">
        <v>80</v>
      </c>
      <c r="H978" s="21" t="s">
        <v>89</v>
      </c>
      <c r="I978" s="21" t="s">
        <v>1123</v>
      </c>
      <c r="J978" s="68">
        <f>+MONTH(ExpenseTable[[#This Row],[Voucher Date]])</f>
        <v>8</v>
      </c>
      <c r="K978" s="13" t="s">
        <v>238</v>
      </c>
    </row>
    <row r="979" spans="1:11" x14ac:dyDescent="0.35">
      <c r="A979" s="15">
        <v>45883</v>
      </c>
      <c r="B979" s="11" t="s">
        <v>931</v>
      </c>
      <c r="C979" s="19">
        <v>45876</v>
      </c>
      <c r="D979" s="13" t="s">
        <v>651</v>
      </c>
      <c r="E979" s="12">
        <v>34500</v>
      </c>
      <c r="F979" s="21" t="s">
        <v>57</v>
      </c>
      <c r="G979" s="21" t="s">
        <v>72</v>
      </c>
      <c r="H979" s="21" t="s">
        <v>73</v>
      </c>
      <c r="I979" s="21" t="s">
        <v>1123</v>
      </c>
      <c r="J979" s="68">
        <f>+MONTH(ExpenseTable[[#This Row],[Voucher Date]])</f>
        <v>8</v>
      </c>
      <c r="K979" s="13" t="s">
        <v>238</v>
      </c>
    </row>
    <row r="980" spans="1:11" x14ac:dyDescent="0.35">
      <c r="A980" s="15">
        <v>45876</v>
      </c>
      <c r="B980" s="11" t="s">
        <v>931</v>
      </c>
      <c r="C980" s="19">
        <v>45876</v>
      </c>
      <c r="D980" s="13" t="s">
        <v>932</v>
      </c>
      <c r="E980" s="12">
        <v>40000</v>
      </c>
      <c r="F980" s="21" t="s">
        <v>22</v>
      </c>
      <c r="G980" s="21" t="s">
        <v>72</v>
      </c>
      <c r="H980" s="21" t="s">
        <v>73</v>
      </c>
      <c r="I980" s="21" t="s">
        <v>1123</v>
      </c>
      <c r="J980" s="68">
        <f>+MONTH(ExpenseTable[[#This Row],[Voucher Date]])</f>
        <v>8</v>
      </c>
      <c r="K980" s="13" t="s">
        <v>238</v>
      </c>
    </row>
    <row r="981" spans="1:11" x14ac:dyDescent="0.35">
      <c r="A981" s="15">
        <v>45879</v>
      </c>
      <c r="B981" s="11" t="s">
        <v>931</v>
      </c>
      <c r="C981" s="19">
        <v>45876</v>
      </c>
      <c r="D981" s="13" t="s">
        <v>705</v>
      </c>
      <c r="E981" s="12">
        <v>40000</v>
      </c>
      <c r="F981" s="21" t="s">
        <v>40</v>
      </c>
      <c r="G981" s="21" t="s">
        <v>72</v>
      </c>
      <c r="H981" s="21" t="s">
        <v>73</v>
      </c>
      <c r="I981" s="21" t="s">
        <v>1123</v>
      </c>
      <c r="J981" s="68">
        <f>+MONTH(ExpenseTable[[#This Row],[Voucher Date]])</f>
        <v>8</v>
      </c>
      <c r="K981" s="13" t="s">
        <v>238</v>
      </c>
    </row>
    <row r="982" spans="1:11" x14ac:dyDescent="0.35">
      <c r="A982" s="15">
        <v>45883</v>
      </c>
      <c r="B982" s="11" t="s">
        <v>931</v>
      </c>
      <c r="C982" s="19">
        <v>45876</v>
      </c>
      <c r="D982" s="13" t="s">
        <v>934</v>
      </c>
      <c r="E982" s="12">
        <v>50000</v>
      </c>
      <c r="F982" s="21" t="s">
        <v>5</v>
      </c>
      <c r="G982" s="21" t="s">
        <v>72</v>
      </c>
      <c r="H982" s="21" t="s">
        <v>73</v>
      </c>
      <c r="I982" s="21" t="s">
        <v>1123</v>
      </c>
      <c r="J982" s="68">
        <f>+MONTH(ExpenseTable[[#This Row],[Voucher Date]])</f>
        <v>8</v>
      </c>
      <c r="K982" s="13" t="s">
        <v>238</v>
      </c>
    </row>
    <row r="983" spans="1:11" x14ac:dyDescent="0.35">
      <c r="A983" s="15">
        <v>45871</v>
      </c>
      <c r="B983" s="11" t="s">
        <v>931</v>
      </c>
      <c r="C983" s="19">
        <v>45876</v>
      </c>
      <c r="D983" s="13" t="s">
        <v>962</v>
      </c>
      <c r="E983" s="12">
        <v>60000</v>
      </c>
      <c r="F983" s="21" t="s">
        <v>5</v>
      </c>
      <c r="G983" s="21" t="s">
        <v>72</v>
      </c>
      <c r="H983" s="21" t="s">
        <v>73</v>
      </c>
      <c r="I983" s="21" t="s">
        <v>1123</v>
      </c>
      <c r="J983" s="68">
        <f>+MONTH(ExpenseTable[[#This Row],[Voucher Date]])</f>
        <v>8</v>
      </c>
      <c r="K983" s="13" t="s">
        <v>238</v>
      </c>
    </row>
    <row r="984" spans="1:11" x14ac:dyDescent="0.35">
      <c r="A984" s="15">
        <v>45877</v>
      </c>
      <c r="B984" s="11" t="s">
        <v>931</v>
      </c>
      <c r="C984" s="19">
        <v>45876</v>
      </c>
      <c r="D984" s="13" t="s">
        <v>189</v>
      </c>
      <c r="E984" s="12">
        <v>90000</v>
      </c>
      <c r="F984" s="21" t="s">
        <v>40</v>
      </c>
      <c r="G984" s="21" t="s">
        <v>72</v>
      </c>
      <c r="H984" s="21" t="s">
        <v>73</v>
      </c>
      <c r="I984" s="21" t="s">
        <v>1123</v>
      </c>
      <c r="J984" s="68">
        <f>+MONTH(ExpenseTable[[#This Row],[Voucher Date]])</f>
        <v>8</v>
      </c>
      <c r="K984" s="13" t="s">
        <v>238</v>
      </c>
    </row>
    <row r="985" spans="1:11" x14ac:dyDescent="0.35">
      <c r="A985" s="15">
        <v>45882</v>
      </c>
      <c r="B985" s="11" t="s">
        <v>942</v>
      </c>
      <c r="C985" s="19">
        <v>45878</v>
      </c>
      <c r="D985" s="13" t="s">
        <v>651</v>
      </c>
      <c r="E985" s="12">
        <v>15000</v>
      </c>
      <c r="F985" s="21" t="s">
        <v>54</v>
      </c>
      <c r="G985" s="21" t="s">
        <v>915</v>
      </c>
      <c r="H985" s="21" t="s">
        <v>914</v>
      </c>
      <c r="I985" s="21" t="s">
        <v>90</v>
      </c>
      <c r="J985" s="68">
        <f>+MONTH(ExpenseTable[[#This Row],[Voucher Date]])</f>
        <v>8</v>
      </c>
      <c r="K985" s="13" t="s">
        <v>238</v>
      </c>
    </row>
    <row r="986" spans="1:11" x14ac:dyDescent="0.35">
      <c r="A986" s="15">
        <v>45883</v>
      </c>
      <c r="B986" s="11" t="s">
        <v>942</v>
      </c>
      <c r="C986" s="19">
        <v>45878</v>
      </c>
      <c r="D986" s="13" t="s">
        <v>944</v>
      </c>
      <c r="E986" s="12">
        <v>18800</v>
      </c>
      <c r="F986" s="21" t="s">
        <v>54</v>
      </c>
      <c r="G986" s="21" t="s">
        <v>915</v>
      </c>
      <c r="H986" s="21" t="s">
        <v>914</v>
      </c>
      <c r="I986" s="21" t="s">
        <v>90</v>
      </c>
      <c r="J986" s="68">
        <f>+MONTH(ExpenseTable[[#This Row],[Voucher Date]])</f>
        <v>8</v>
      </c>
      <c r="K986" s="13" t="s">
        <v>238</v>
      </c>
    </row>
    <row r="987" spans="1:11" x14ac:dyDescent="0.35">
      <c r="A987" s="15">
        <v>45878</v>
      </c>
      <c r="B987" s="11" t="s">
        <v>942</v>
      </c>
      <c r="C987" s="19">
        <v>45878</v>
      </c>
      <c r="D987" s="13" t="s">
        <v>288</v>
      </c>
      <c r="E987" s="12">
        <v>20000</v>
      </c>
      <c r="F987" s="21" t="s">
        <v>54</v>
      </c>
      <c r="G987" s="21" t="s">
        <v>915</v>
      </c>
      <c r="H987" s="21" t="s">
        <v>914</v>
      </c>
      <c r="I987" s="21" t="s">
        <v>90</v>
      </c>
      <c r="J987" s="68">
        <f>+MONTH(ExpenseTable[[#This Row],[Voucher Date]])</f>
        <v>8</v>
      </c>
      <c r="K987" s="13" t="s">
        <v>238</v>
      </c>
    </row>
    <row r="988" spans="1:11" x14ac:dyDescent="0.35">
      <c r="A988" s="15">
        <v>45883</v>
      </c>
      <c r="B988" s="11" t="s">
        <v>942</v>
      </c>
      <c r="C988" s="19">
        <v>45878</v>
      </c>
      <c r="D988" s="13" t="s">
        <v>288</v>
      </c>
      <c r="E988" s="12">
        <v>40000</v>
      </c>
      <c r="F988" s="21" t="s">
        <v>54</v>
      </c>
      <c r="G988" s="21" t="s">
        <v>915</v>
      </c>
      <c r="H988" s="21" t="s">
        <v>914</v>
      </c>
      <c r="I988" s="21" t="s">
        <v>90</v>
      </c>
      <c r="J988" s="68">
        <f>+MONTH(ExpenseTable[[#This Row],[Voucher Date]])</f>
        <v>8</v>
      </c>
      <c r="K988" s="13" t="s">
        <v>238</v>
      </c>
    </row>
    <row r="989" spans="1:11" x14ac:dyDescent="0.35">
      <c r="A989" s="15">
        <v>45883</v>
      </c>
      <c r="B989" s="11" t="s">
        <v>942</v>
      </c>
      <c r="C989" s="19">
        <v>45878</v>
      </c>
      <c r="D989" s="13" t="s">
        <v>945</v>
      </c>
      <c r="E989" s="12">
        <v>60000</v>
      </c>
      <c r="F989" s="21" t="s">
        <v>57</v>
      </c>
      <c r="G989" s="21" t="s">
        <v>72</v>
      </c>
      <c r="H989" s="21" t="s">
        <v>73</v>
      </c>
      <c r="I989" s="21" t="s">
        <v>90</v>
      </c>
      <c r="J989" s="68">
        <f>+MONTH(ExpenseTable[[#This Row],[Voucher Date]])</f>
        <v>8</v>
      </c>
      <c r="K989" s="13" t="s">
        <v>238</v>
      </c>
    </row>
    <row r="990" spans="1:11" x14ac:dyDescent="0.35">
      <c r="A990" s="15">
        <v>45884</v>
      </c>
      <c r="B990" s="11" t="s">
        <v>942</v>
      </c>
      <c r="C990" s="19">
        <v>45878</v>
      </c>
      <c r="D990" s="13" t="s">
        <v>946</v>
      </c>
      <c r="E990" s="12">
        <v>80000</v>
      </c>
      <c r="F990" s="21" t="s">
        <v>54</v>
      </c>
      <c r="G990" s="21" t="s">
        <v>80</v>
      </c>
      <c r="H990" s="21" t="s">
        <v>89</v>
      </c>
      <c r="I990" s="21" t="s">
        <v>90</v>
      </c>
      <c r="J990" s="68">
        <f>+MONTH(ExpenseTable[[#This Row],[Voucher Date]])</f>
        <v>8</v>
      </c>
      <c r="K990" s="13" t="s">
        <v>238</v>
      </c>
    </row>
    <row r="991" spans="1:11" x14ac:dyDescent="0.35">
      <c r="A991" s="15">
        <v>45883</v>
      </c>
      <c r="B991" s="11" t="s">
        <v>942</v>
      </c>
      <c r="C991" s="19">
        <v>45878</v>
      </c>
      <c r="D991" s="13" t="s">
        <v>943</v>
      </c>
      <c r="E991" s="12">
        <v>315000</v>
      </c>
      <c r="F991" s="21" t="s">
        <v>54</v>
      </c>
      <c r="G991" s="21" t="s">
        <v>915</v>
      </c>
      <c r="H991" s="21" t="s">
        <v>914</v>
      </c>
      <c r="I991" s="21" t="s">
        <v>90</v>
      </c>
      <c r="J991" s="68">
        <f>+MONTH(ExpenseTable[[#This Row],[Voucher Date]])</f>
        <v>8</v>
      </c>
      <c r="K991" s="13" t="s">
        <v>238</v>
      </c>
    </row>
    <row r="992" spans="1:11" x14ac:dyDescent="0.35">
      <c r="A992" s="15">
        <v>45883</v>
      </c>
      <c r="B992" s="11" t="s">
        <v>942</v>
      </c>
      <c r="C992" s="19">
        <v>45878</v>
      </c>
      <c r="D992" s="13" t="s">
        <v>947</v>
      </c>
      <c r="E992" s="12">
        <v>800000</v>
      </c>
      <c r="F992" s="21" t="s">
        <v>54</v>
      </c>
      <c r="G992" s="21" t="s">
        <v>915</v>
      </c>
      <c r="H992" s="21" t="s">
        <v>914</v>
      </c>
      <c r="I992" s="21" t="s">
        <v>90</v>
      </c>
      <c r="J992" s="68">
        <f>+MONTH(ExpenseTable[[#This Row],[Voucher Date]])</f>
        <v>8</v>
      </c>
      <c r="K992" s="13" t="s">
        <v>238</v>
      </c>
    </row>
    <row r="993" spans="1:11" x14ac:dyDescent="0.35">
      <c r="A993" s="15">
        <v>45887</v>
      </c>
      <c r="B993" s="11" t="s">
        <v>974</v>
      </c>
      <c r="C993" s="19">
        <v>45884</v>
      </c>
      <c r="D993" s="13" t="s">
        <v>978</v>
      </c>
      <c r="E993" s="12">
        <v>3600</v>
      </c>
      <c r="F993" s="21" t="s">
        <v>37</v>
      </c>
      <c r="G993" s="21" t="s">
        <v>72</v>
      </c>
      <c r="H993" s="21" t="s">
        <v>73</v>
      </c>
      <c r="I993" s="21" t="s">
        <v>90</v>
      </c>
      <c r="J993" s="68">
        <f>+MONTH(ExpenseTable[[#This Row],[Voucher Date]])</f>
        <v>8</v>
      </c>
      <c r="K993" s="13" t="s">
        <v>238</v>
      </c>
    </row>
    <row r="994" spans="1:11" x14ac:dyDescent="0.35">
      <c r="A994" s="15">
        <v>45884</v>
      </c>
      <c r="B994" s="11" t="s">
        <v>974</v>
      </c>
      <c r="C994" s="19">
        <v>45884</v>
      </c>
      <c r="D994" s="13" t="s">
        <v>976</v>
      </c>
      <c r="E994" s="12">
        <v>4000</v>
      </c>
      <c r="F994" s="21" t="s">
        <v>22</v>
      </c>
      <c r="G994" s="21" t="s">
        <v>72</v>
      </c>
      <c r="H994" s="21" t="s">
        <v>73</v>
      </c>
      <c r="I994" s="21" t="s">
        <v>90</v>
      </c>
      <c r="J994" s="68">
        <f>+MONTH(ExpenseTable[[#This Row],[Voucher Date]])</f>
        <v>8</v>
      </c>
      <c r="K994" s="13" t="s">
        <v>238</v>
      </c>
    </row>
    <row r="995" spans="1:11" x14ac:dyDescent="0.35">
      <c r="A995" s="15">
        <v>45884</v>
      </c>
      <c r="B995" s="11" t="s">
        <v>974</v>
      </c>
      <c r="C995" s="19">
        <v>45884</v>
      </c>
      <c r="D995" s="13" t="s">
        <v>384</v>
      </c>
      <c r="E995" s="12">
        <v>30000</v>
      </c>
      <c r="F995" s="21" t="s">
        <v>26</v>
      </c>
      <c r="G995" s="21" t="s">
        <v>72</v>
      </c>
      <c r="H995" s="21" t="s">
        <v>73</v>
      </c>
      <c r="I995" s="21" t="s">
        <v>90</v>
      </c>
      <c r="J995" s="68">
        <f>+MONTH(ExpenseTable[[#This Row],[Voucher Date]])</f>
        <v>8</v>
      </c>
      <c r="K995" s="13" t="s">
        <v>238</v>
      </c>
    </row>
    <row r="996" spans="1:11" x14ac:dyDescent="0.35">
      <c r="A996" s="15">
        <v>45887</v>
      </c>
      <c r="B996" s="11" t="s">
        <v>974</v>
      </c>
      <c r="C996" s="19">
        <v>45884</v>
      </c>
      <c r="D996" s="13" t="s">
        <v>288</v>
      </c>
      <c r="E996" s="12">
        <v>40000</v>
      </c>
      <c r="F996" s="21" t="s">
        <v>54</v>
      </c>
      <c r="G996" s="21" t="s">
        <v>915</v>
      </c>
      <c r="H996" s="21" t="s">
        <v>914</v>
      </c>
      <c r="I996" s="21" t="s">
        <v>90</v>
      </c>
      <c r="J996" s="68">
        <f>+MONTH(ExpenseTable[[#This Row],[Voucher Date]])</f>
        <v>8</v>
      </c>
      <c r="K996" s="13" t="s">
        <v>238</v>
      </c>
    </row>
    <row r="997" spans="1:11" x14ac:dyDescent="0.35">
      <c r="A997" s="15">
        <v>45884</v>
      </c>
      <c r="B997" s="11" t="s">
        <v>974</v>
      </c>
      <c r="C997" s="19">
        <v>45884</v>
      </c>
      <c r="D997" s="13" t="s">
        <v>977</v>
      </c>
      <c r="E997" s="12">
        <v>80000</v>
      </c>
      <c r="F997" s="21" t="s">
        <v>22</v>
      </c>
      <c r="G997" s="21" t="s">
        <v>72</v>
      </c>
      <c r="H997" s="21" t="s">
        <v>73</v>
      </c>
      <c r="I997" s="21" t="s">
        <v>90</v>
      </c>
      <c r="J997" s="68">
        <f>+MONTH(ExpenseTable[[#This Row],[Voucher Date]])</f>
        <v>8</v>
      </c>
      <c r="K997" s="13" t="s">
        <v>238</v>
      </c>
    </row>
    <row r="998" spans="1:11" x14ac:dyDescent="0.35">
      <c r="A998" s="15">
        <v>45884</v>
      </c>
      <c r="B998" s="11" t="s">
        <v>974</v>
      </c>
      <c r="C998" s="19">
        <v>45884</v>
      </c>
      <c r="D998" s="13" t="s">
        <v>975</v>
      </c>
      <c r="E998" s="12">
        <v>137000</v>
      </c>
      <c r="F998" s="21" t="s">
        <v>22</v>
      </c>
      <c r="G998" s="21" t="s">
        <v>72</v>
      </c>
      <c r="H998" s="21" t="s">
        <v>73</v>
      </c>
      <c r="I998" s="21" t="s">
        <v>90</v>
      </c>
      <c r="J998" s="68">
        <f>+MONTH(ExpenseTable[[#This Row],[Voucher Date]])</f>
        <v>8</v>
      </c>
      <c r="K998" s="13" t="s">
        <v>238</v>
      </c>
    </row>
    <row r="999" spans="1:11" x14ac:dyDescent="0.35">
      <c r="A999" s="15">
        <v>45884</v>
      </c>
      <c r="B999" s="11" t="s">
        <v>974</v>
      </c>
      <c r="C999" s="19">
        <v>45884</v>
      </c>
      <c r="D999" s="13" t="s">
        <v>979</v>
      </c>
      <c r="E999" s="12">
        <v>462500</v>
      </c>
      <c r="F999" s="21" t="s">
        <v>88</v>
      </c>
      <c r="G999" s="21" t="s">
        <v>72</v>
      </c>
      <c r="H999" s="21" t="s">
        <v>73</v>
      </c>
      <c r="I999" s="21" t="s">
        <v>90</v>
      </c>
      <c r="J999" s="68">
        <f>+MONTH(ExpenseTable[[#This Row],[Voucher Date]])</f>
        <v>8</v>
      </c>
      <c r="K999" s="13" t="s">
        <v>238</v>
      </c>
    </row>
    <row r="1000" spans="1:11" x14ac:dyDescent="0.35">
      <c r="A1000" s="15">
        <v>45887</v>
      </c>
      <c r="B1000" s="11" t="s">
        <v>974</v>
      </c>
      <c r="C1000" s="19">
        <v>45884</v>
      </c>
      <c r="D1000" s="13" t="s">
        <v>980</v>
      </c>
      <c r="E1000" s="12">
        <v>630000</v>
      </c>
      <c r="F1000" s="21" t="s">
        <v>54</v>
      </c>
      <c r="G1000" s="21" t="s">
        <v>915</v>
      </c>
      <c r="H1000" s="21" t="s">
        <v>914</v>
      </c>
      <c r="I1000" s="21" t="s">
        <v>90</v>
      </c>
      <c r="J1000" s="68">
        <f>+MONTH(ExpenseTable[[#This Row],[Voucher Date]])</f>
        <v>8</v>
      </c>
      <c r="K1000" s="13" t="s">
        <v>238</v>
      </c>
    </row>
    <row r="1001" spans="1:11" x14ac:dyDescent="0.35">
      <c r="A1001" s="15">
        <v>45887</v>
      </c>
      <c r="B1001" s="11" t="s">
        <v>981</v>
      </c>
      <c r="C1001" s="19">
        <v>45887</v>
      </c>
      <c r="D1001" s="13" t="s">
        <v>983</v>
      </c>
      <c r="E1001" s="12">
        <v>500</v>
      </c>
      <c r="F1001" s="21" t="s">
        <v>21</v>
      </c>
      <c r="G1001" s="21" t="s">
        <v>72</v>
      </c>
      <c r="H1001" s="21" t="s">
        <v>73</v>
      </c>
      <c r="I1001" s="21" t="s">
        <v>90</v>
      </c>
      <c r="J1001" s="68">
        <f>+MONTH(ExpenseTable[[#This Row],[Voucher Date]])</f>
        <v>8</v>
      </c>
      <c r="K1001" s="13" t="s">
        <v>238</v>
      </c>
    </row>
    <row r="1002" spans="1:11" x14ac:dyDescent="0.35">
      <c r="A1002" s="15">
        <v>45890</v>
      </c>
      <c r="B1002" s="11" t="s">
        <v>981</v>
      </c>
      <c r="C1002" s="19">
        <v>45887</v>
      </c>
      <c r="D1002" s="13" t="s">
        <v>989</v>
      </c>
      <c r="E1002" s="12">
        <v>3000</v>
      </c>
      <c r="F1002" s="21" t="s">
        <v>22</v>
      </c>
      <c r="G1002" s="21" t="s">
        <v>72</v>
      </c>
      <c r="H1002" s="21" t="s">
        <v>73</v>
      </c>
      <c r="I1002" s="21" t="s">
        <v>90</v>
      </c>
      <c r="J1002" s="68">
        <f>+MONTH(ExpenseTable[[#This Row],[Voucher Date]])</f>
        <v>8</v>
      </c>
      <c r="K1002" s="13" t="s">
        <v>238</v>
      </c>
    </row>
    <row r="1003" spans="1:11" x14ac:dyDescent="0.35">
      <c r="A1003" s="15">
        <v>45888</v>
      </c>
      <c r="B1003" s="11" t="s">
        <v>981</v>
      </c>
      <c r="C1003" s="19">
        <v>45887</v>
      </c>
      <c r="D1003" s="13" t="s">
        <v>984</v>
      </c>
      <c r="E1003" s="12">
        <v>5000</v>
      </c>
      <c r="F1003" s="21" t="s">
        <v>21</v>
      </c>
      <c r="G1003" s="21" t="s">
        <v>72</v>
      </c>
      <c r="H1003" s="21" t="s">
        <v>73</v>
      </c>
      <c r="I1003" s="21" t="s">
        <v>90</v>
      </c>
      <c r="J1003" s="68">
        <f>+MONTH(ExpenseTable[[#This Row],[Voucher Date]])</f>
        <v>8</v>
      </c>
      <c r="K1003" s="13" t="s">
        <v>238</v>
      </c>
    </row>
    <row r="1004" spans="1:11" x14ac:dyDescent="0.35">
      <c r="A1004" s="15">
        <v>45889</v>
      </c>
      <c r="B1004" s="11" t="s">
        <v>981</v>
      </c>
      <c r="C1004" s="19">
        <v>45887</v>
      </c>
      <c r="D1004" s="13" t="s">
        <v>988</v>
      </c>
      <c r="E1004" s="12">
        <v>5000</v>
      </c>
      <c r="F1004" s="21" t="s">
        <v>5</v>
      </c>
      <c r="G1004" s="21" t="s">
        <v>72</v>
      </c>
      <c r="H1004" s="21" t="s">
        <v>73</v>
      </c>
      <c r="I1004" s="21" t="s">
        <v>90</v>
      </c>
      <c r="J1004" s="68">
        <f>+MONTH(ExpenseTable[[#This Row],[Voucher Date]])</f>
        <v>8</v>
      </c>
      <c r="K1004" s="13" t="s">
        <v>238</v>
      </c>
    </row>
    <row r="1005" spans="1:11" x14ac:dyDescent="0.35">
      <c r="A1005" s="15">
        <v>45888</v>
      </c>
      <c r="B1005" s="11" t="s">
        <v>981</v>
      </c>
      <c r="C1005" s="19">
        <v>45887</v>
      </c>
      <c r="D1005" s="13" t="s">
        <v>986</v>
      </c>
      <c r="E1005" s="12">
        <v>5150</v>
      </c>
      <c r="F1005" s="21" t="s">
        <v>37</v>
      </c>
      <c r="G1005" s="21" t="s">
        <v>72</v>
      </c>
      <c r="H1005" s="21" t="s">
        <v>73</v>
      </c>
      <c r="I1005" s="21" t="s">
        <v>90</v>
      </c>
      <c r="J1005" s="68">
        <f>+MONTH(ExpenseTable[[#This Row],[Voucher Date]])</f>
        <v>8</v>
      </c>
      <c r="K1005" s="13" t="s">
        <v>238</v>
      </c>
    </row>
    <row r="1006" spans="1:11" x14ac:dyDescent="0.35">
      <c r="A1006" s="15">
        <v>45888</v>
      </c>
      <c r="B1006" s="11" t="s">
        <v>981</v>
      </c>
      <c r="C1006" s="19">
        <v>45887</v>
      </c>
      <c r="D1006" s="13" t="s">
        <v>985</v>
      </c>
      <c r="E1006" s="12">
        <v>15000</v>
      </c>
      <c r="F1006" s="21" t="s">
        <v>54</v>
      </c>
      <c r="G1006" s="21" t="s">
        <v>80</v>
      </c>
      <c r="H1006" s="21" t="s">
        <v>89</v>
      </c>
      <c r="I1006" s="21" t="s">
        <v>90</v>
      </c>
      <c r="J1006" s="68">
        <f>+MONTH(ExpenseTable[[#This Row],[Voucher Date]])</f>
        <v>8</v>
      </c>
      <c r="K1006" s="13" t="s">
        <v>238</v>
      </c>
    </row>
    <row r="1007" spans="1:11" x14ac:dyDescent="0.35">
      <c r="A1007" s="15">
        <v>45887</v>
      </c>
      <c r="B1007" s="11" t="s">
        <v>981</v>
      </c>
      <c r="C1007" s="19">
        <v>45887</v>
      </c>
      <c r="D1007" s="13" t="s">
        <v>982</v>
      </c>
      <c r="E1007" s="12">
        <v>30000</v>
      </c>
      <c r="F1007" s="21" t="s">
        <v>54</v>
      </c>
      <c r="G1007" s="21" t="s">
        <v>80</v>
      </c>
      <c r="H1007" s="21" t="s">
        <v>89</v>
      </c>
      <c r="I1007" s="21" t="s">
        <v>90</v>
      </c>
      <c r="J1007" s="68">
        <f>+MONTH(ExpenseTable[[#This Row],[Voucher Date]])</f>
        <v>8</v>
      </c>
      <c r="K1007" s="13" t="s">
        <v>238</v>
      </c>
    </row>
    <row r="1008" spans="1:11" x14ac:dyDescent="0.35">
      <c r="A1008" s="15">
        <v>45888</v>
      </c>
      <c r="B1008" s="11" t="s">
        <v>981</v>
      </c>
      <c r="C1008" s="19">
        <v>45887</v>
      </c>
      <c r="D1008" s="13" t="s">
        <v>987</v>
      </c>
      <c r="E1008" s="12">
        <v>65000</v>
      </c>
      <c r="F1008" s="21" t="s">
        <v>30</v>
      </c>
      <c r="G1008" s="21" t="s">
        <v>72</v>
      </c>
      <c r="H1008" s="21" t="s">
        <v>73</v>
      </c>
      <c r="I1008" s="21" t="s">
        <v>90</v>
      </c>
      <c r="J1008" s="68">
        <f>+MONTH(ExpenseTable[[#This Row],[Voucher Date]])</f>
        <v>8</v>
      </c>
      <c r="K1008" s="13" t="s">
        <v>238</v>
      </c>
    </row>
    <row r="1009" spans="1:11" x14ac:dyDescent="0.35">
      <c r="A1009" s="15">
        <v>45871</v>
      </c>
      <c r="B1009" s="11" t="s">
        <v>990</v>
      </c>
      <c r="C1009" s="19">
        <v>45888</v>
      </c>
      <c r="D1009" s="13" t="s">
        <v>991</v>
      </c>
      <c r="E1009" s="12">
        <v>14000</v>
      </c>
      <c r="F1009" s="21" t="s">
        <v>5</v>
      </c>
      <c r="G1009" s="21" t="s">
        <v>72</v>
      </c>
      <c r="H1009" s="21" t="s">
        <v>73</v>
      </c>
      <c r="I1009" s="21" t="s">
        <v>91</v>
      </c>
      <c r="J1009" s="68">
        <f>+MONTH(ExpenseTable[[#This Row],[Voucher Date]])</f>
        <v>8</v>
      </c>
      <c r="K1009" s="13" t="s">
        <v>238</v>
      </c>
    </row>
    <row r="1010" spans="1:11" x14ac:dyDescent="0.35">
      <c r="A1010" s="15">
        <v>45885</v>
      </c>
      <c r="B1010" s="11" t="s">
        <v>990</v>
      </c>
      <c r="C1010" s="19">
        <v>45888</v>
      </c>
      <c r="D1010" s="13" t="s">
        <v>995</v>
      </c>
      <c r="E1010" s="12">
        <v>15000</v>
      </c>
      <c r="F1010" s="21" t="s">
        <v>26</v>
      </c>
      <c r="G1010" s="21" t="s">
        <v>72</v>
      </c>
      <c r="H1010" s="21" t="s">
        <v>73</v>
      </c>
      <c r="I1010" s="21" t="s">
        <v>91</v>
      </c>
      <c r="J1010" s="68">
        <f>+MONTH(ExpenseTable[[#This Row],[Voucher Date]])</f>
        <v>8</v>
      </c>
      <c r="K1010" s="13" t="s">
        <v>238</v>
      </c>
    </row>
    <row r="1011" spans="1:11" x14ac:dyDescent="0.35">
      <c r="A1011" s="15">
        <v>45871</v>
      </c>
      <c r="B1011" s="11" t="s">
        <v>990</v>
      </c>
      <c r="C1011" s="19">
        <v>45888</v>
      </c>
      <c r="D1011" s="13" t="s">
        <v>992</v>
      </c>
      <c r="E1011" s="12">
        <v>70000</v>
      </c>
      <c r="F1011" s="21" t="s">
        <v>5</v>
      </c>
      <c r="G1011" s="21" t="s">
        <v>72</v>
      </c>
      <c r="H1011" s="21" t="s">
        <v>73</v>
      </c>
      <c r="I1011" s="21" t="s">
        <v>91</v>
      </c>
      <c r="J1011" s="68">
        <f>+MONTH(ExpenseTable[[#This Row],[Voucher Date]])</f>
        <v>8</v>
      </c>
      <c r="K1011" s="13" t="s">
        <v>238</v>
      </c>
    </row>
    <row r="1012" spans="1:11" x14ac:dyDescent="0.35">
      <c r="A1012" s="15">
        <v>45888</v>
      </c>
      <c r="B1012" s="11" t="s">
        <v>990</v>
      </c>
      <c r="C1012" s="19">
        <v>45888</v>
      </c>
      <c r="D1012" s="13" t="s">
        <v>996</v>
      </c>
      <c r="E1012" s="12">
        <v>150000</v>
      </c>
      <c r="F1012" s="21" t="s">
        <v>5</v>
      </c>
      <c r="G1012" s="21" t="s">
        <v>72</v>
      </c>
      <c r="H1012" s="21" t="s">
        <v>73</v>
      </c>
      <c r="I1012" s="21" t="s">
        <v>91</v>
      </c>
      <c r="J1012" s="68">
        <f>+MONTH(ExpenseTable[[#This Row],[Voucher Date]])</f>
        <v>8</v>
      </c>
      <c r="K1012" s="13" t="s">
        <v>238</v>
      </c>
    </row>
    <row r="1013" spans="1:11" x14ac:dyDescent="0.35">
      <c r="A1013" s="15">
        <v>45889</v>
      </c>
      <c r="B1013" s="11" t="s">
        <v>990</v>
      </c>
      <c r="C1013" s="19">
        <v>45888</v>
      </c>
      <c r="D1013" s="13" t="s">
        <v>994</v>
      </c>
      <c r="E1013" s="12">
        <v>150000</v>
      </c>
      <c r="F1013" s="21" t="s">
        <v>54</v>
      </c>
      <c r="G1013" s="21" t="s">
        <v>80</v>
      </c>
      <c r="H1013" s="21" t="s">
        <v>89</v>
      </c>
      <c r="I1013" s="21" t="s">
        <v>91</v>
      </c>
      <c r="J1013" s="68">
        <f>+MONTH(ExpenseTable[[#This Row],[Voucher Date]])</f>
        <v>8</v>
      </c>
      <c r="K1013" s="13" t="s">
        <v>238</v>
      </c>
    </row>
    <row r="1014" spans="1:11" x14ac:dyDescent="0.35">
      <c r="A1014" s="15">
        <v>45889</v>
      </c>
      <c r="B1014" s="11" t="s">
        <v>990</v>
      </c>
      <c r="C1014" s="19">
        <v>45888</v>
      </c>
      <c r="D1014" s="13" t="s">
        <v>993</v>
      </c>
      <c r="E1014" s="12">
        <v>500000</v>
      </c>
      <c r="F1014" s="21" t="s">
        <v>54</v>
      </c>
      <c r="G1014" s="21" t="s">
        <v>80</v>
      </c>
      <c r="H1014" s="21" t="s">
        <v>89</v>
      </c>
      <c r="I1014" s="21" t="s">
        <v>91</v>
      </c>
      <c r="J1014" s="68">
        <f>+MONTH(ExpenseTable[[#This Row],[Voucher Date]])</f>
        <v>8</v>
      </c>
      <c r="K1014" s="13" t="s">
        <v>238</v>
      </c>
    </row>
    <row r="1015" spans="1:11" x14ac:dyDescent="0.35">
      <c r="A1015" s="15">
        <v>45889</v>
      </c>
      <c r="B1015" s="11" t="s">
        <v>990</v>
      </c>
      <c r="C1015" s="19">
        <v>45888</v>
      </c>
      <c r="D1015" s="13" t="s">
        <v>993</v>
      </c>
      <c r="E1015" s="12">
        <v>1500000</v>
      </c>
      <c r="F1015" s="21" t="s">
        <v>54</v>
      </c>
      <c r="G1015" s="21" t="s">
        <v>80</v>
      </c>
      <c r="H1015" s="21" t="s">
        <v>89</v>
      </c>
      <c r="I1015" s="21" t="s">
        <v>91</v>
      </c>
      <c r="J1015" s="68">
        <f>+MONTH(ExpenseTable[[#This Row],[Voucher Date]])</f>
        <v>8</v>
      </c>
      <c r="K1015" s="13" t="s">
        <v>238</v>
      </c>
    </row>
    <row r="1016" spans="1:11" x14ac:dyDescent="0.35">
      <c r="A1016" s="15">
        <v>45890</v>
      </c>
      <c r="B1016" s="11" t="s">
        <v>997</v>
      </c>
      <c r="C1016" s="19">
        <v>45890</v>
      </c>
      <c r="D1016" s="13" t="s">
        <v>589</v>
      </c>
      <c r="E1016" s="12">
        <v>2000</v>
      </c>
      <c r="F1016" s="21" t="s">
        <v>21</v>
      </c>
      <c r="G1016" s="21" t="s">
        <v>72</v>
      </c>
      <c r="H1016" s="21" t="s">
        <v>73</v>
      </c>
      <c r="I1016" s="21" t="s">
        <v>90</v>
      </c>
      <c r="J1016" s="68">
        <f>+MONTH(ExpenseTable[[#This Row],[Voucher Date]])</f>
        <v>8</v>
      </c>
      <c r="K1016" s="13" t="s">
        <v>238</v>
      </c>
    </row>
    <row r="1017" spans="1:11" x14ac:dyDescent="0.35">
      <c r="A1017" s="15">
        <v>45894</v>
      </c>
      <c r="B1017" s="11" t="s">
        <v>997</v>
      </c>
      <c r="C1017" s="19">
        <v>45890</v>
      </c>
      <c r="D1017" s="13" t="s">
        <v>393</v>
      </c>
      <c r="E1017" s="12">
        <v>4000</v>
      </c>
      <c r="F1017" s="21" t="s">
        <v>37</v>
      </c>
      <c r="G1017" s="21" t="s">
        <v>72</v>
      </c>
      <c r="H1017" s="21" t="s">
        <v>73</v>
      </c>
      <c r="I1017" s="21" t="s">
        <v>90</v>
      </c>
      <c r="J1017" s="68">
        <f>+MONTH(ExpenseTable[[#This Row],[Voucher Date]])</f>
        <v>8</v>
      </c>
      <c r="K1017" s="13" t="s">
        <v>238</v>
      </c>
    </row>
    <row r="1018" spans="1:11" x14ac:dyDescent="0.35">
      <c r="A1018" s="15">
        <v>45891</v>
      </c>
      <c r="B1018" s="11" t="s">
        <v>997</v>
      </c>
      <c r="C1018" s="19">
        <v>45890</v>
      </c>
      <c r="D1018" s="13" t="s">
        <v>988</v>
      </c>
      <c r="E1018" s="12">
        <v>5000</v>
      </c>
      <c r="F1018" s="21" t="s">
        <v>5</v>
      </c>
      <c r="G1018" s="21" t="s">
        <v>72</v>
      </c>
      <c r="H1018" s="21" t="s">
        <v>73</v>
      </c>
      <c r="I1018" s="21" t="s">
        <v>90</v>
      </c>
      <c r="J1018" s="68">
        <f>+MONTH(ExpenseTable[[#This Row],[Voucher Date]])</f>
        <v>8</v>
      </c>
      <c r="K1018" s="13" t="s">
        <v>238</v>
      </c>
    </row>
    <row r="1019" spans="1:11" x14ac:dyDescent="0.35">
      <c r="A1019" s="15">
        <v>45894</v>
      </c>
      <c r="B1019" s="11" t="s">
        <v>997</v>
      </c>
      <c r="C1019" s="19">
        <v>45890</v>
      </c>
      <c r="D1019" s="13" t="s">
        <v>999</v>
      </c>
      <c r="E1019" s="12">
        <v>6000</v>
      </c>
      <c r="F1019" s="21" t="s">
        <v>5</v>
      </c>
      <c r="G1019" s="21" t="s">
        <v>72</v>
      </c>
      <c r="H1019" s="21" t="s">
        <v>73</v>
      </c>
      <c r="I1019" s="21" t="s">
        <v>90</v>
      </c>
      <c r="J1019" s="68">
        <f>+MONTH(ExpenseTable[[#This Row],[Voucher Date]])</f>
        <v>8</v>
      </c>
      <c r="K1019" s="13" t="s">
        <v>238</v>
      </c>
    </row>
    <row r="1020" spans="1:11" x14ac:dyDescent="0.35">
      <c r="A1020" s="15">
        <v>45896</v>
      </c>
      <c r="B1020" s="11" t="s">
        <v>997</v>
      </c>
      <c r="C1020" s="19">
        <v>45890</v>
      </c>
      <c r="D1020" s="13" t="s">
        <v>1001</v>
      </c>
      <c r="E1020" s="12">
        <v>10000</v>
      </c>
      <c r="F1020" s="21" t="s">
        <v>26</v>
      </c>
      <c r="G1020" s="21" t="s">
        <v>72</v>
      </c>
      <c r="H1020" s="21" t="s">
        <v>73</v>
      </c>
      <c r="I1020" s="21" t="s">
        <v>90</v>
      </c>
      <c r="J1020" s="68">
        <f>+MONTH(ExpenseTable[[#This Row],[Voucher Date]])</f>
        <v>8</v>
      </c>
      <c r="K1020" s="13" t="s">
        <v>238</v>
      </c>
    </row>
    <row r="1021" spans="1:11" x14ac:dyDescent="0.35">
      <c r="A1021" s="15">
        <v>45894</v>
      </c>
      <c r="B1021" s="11" t="s">
        <v>997</v>
      </c>
      <c r="C1021" s="19">
        <v>45890</v>
      </c>
      <c r="D1021" s="13" t="s">
        <v>1000</v>
      </c>
      <c r="E1021" s="12">
        <v>15000</v>
      </c>
      <c r="F1021" s="21" t="s">
        <v>22</v>
      </c>
      <c r="G1021" s="21" t="s">
        <v>72</v>
      </c>
      <c r="H1021" s="21" t="s">
        <v>73</v>
      </c>
      <c r="I1021" s="21" t="s">
        <v>90</v>
      </c>
      <c r="J1021" s="68">
        <f>+MONTH(ExpenseTable[[#This Row],[Voucher Date]])</f>
        <v>8</v>
      </c>
      <c r="K1021" s="13" t="s">
        <v>238</v>
      </c>
    </row>
    <row r="1022" spans="1:11" x14ac:dyDescent="0.35">
      <c r="A1022" s="15">
        <v>45890</v>
      </c>
      <c r="B1022" s="11" t="s">
        <v>997</v>
      </c>
      <c r="C1022" s="19">
        <v>45890</v>
      </c>
      <c r="D1022" s="13" t="s">
        <v>171</v>
      </c>
      <c r="E1022" s="12">
        <v>40000</v>
      </c>
      <c r="F1022" s="21" t="s">
        <v>40</v>
      </c>
      <c r="G1022" s="21" t="s">
        <v>72</v>
      </c>
      <c r="H1022" s="21" t="s">
        <v>73</v>
      </c>
      <c r="I1022" s="21" t="s">
        <v>90</v>
      </c>
      <c r="J1022" s="68">
        <f>+MONTH(ExpenseTable[[#This Row],[Voucher Date]])</f>
        <v>8</v>
      </c>
      <c r="K1022" s="13" t="s">
        <v>238</v>
      </c>
    </row>
    <row r="1023" spans="1:11" x14ac:dyDescent="0.35">
      <c r="A1023" s="15">
        <v>45894</v>
      </c>
      <c r="B1023" s="11" t="s">
        <v>997</v>
      </c>
      <c r="C1023" s="19">
        <v>45890</v>
      </c>
      <c r="D1023" s="13" t="s">
        <v>998</v>
      </c>
      <c r="E1023" s="12">
        <v>40000</v>
      </c>
      <c r="F1023" s="21" t="s">
        <v>40</v>
      </c>
      <c r="G1023" s="21" t="s">
        <v>72</v>
      </c>
      <c r="H1023" s="21" t="s">
        <v>73</v>
      </c>
      <c r="I1023" s="21" t="s">
        <v>90</v>
      </c>
      <c r="J1023" s="68">
        <f>+MONTH(ExpenseTable[[#This Row],[Voucher Date]])</f>
        <v>8</v>
      </c>
      <c r="K1023" s="13" t="s">
        <v>238</v>
      </c>
    </row>
    <row r="1024" spans="1:11" x14ac:dyDescent="0.35">
      <c r="A1024" s="15">
        <v>45901</v>
      </c>
      <c r="B1024" s="11" t="s">
        <v>1005</v>
      </c>
      <c r="C1024" s="19">
        <v>45901</v>
      </c>
      <c r="D1024" s="13" t="s">
        <v>1013</v>
      </c>
      <c r="E1024" s="12">
        <v>8653.85</v>
      </c>
      <c r="F1024" s="21" t="s">
        <v>54</v>
      </c>
      <c r="G1024" s="21" t="s">
        <v>72</v>
      </c>
      <c r="H1024" s="21" t="s">
        <v>73</v>
      </c>
      <c r="I1024" s="21" t="s">
        <v>91</v>
      </c>
      <c r="J1024" s="68">
        <f>+MONTH(ExpenseTable[[#This Row],[Voucher Date]])</f>
        <v>9</v>
      </c>
      <c r="K1024" s="13" t="s">
        <v>238</v>
      </c>
    </row>
    <row r="1025" spans="1:11" x14ac:dyDescent="0.35">
      <c r="A1025" s="15">
        <v>45901</v>
      </c>
      <c r="B1025" s="11" t="s">
        <v>1005</v>
      </c>
      <c r="C1025" s="19">
        <v>45901</v>
      </c>
      <c r="D1025" s="13" t="s">
        <v>1012</v>
      </c>
      <c r="E1025" s="12">
        <v>30000</v>
      </c>
      <c r="F1025" s="21" t="s">
        <v>30</v>
      </c>
      <c r="G1025" s="21" t="s">
        <v>72</v>
      </c>
      <c r="H1025" s="21" t="s">
        <v>73</v>
      </c>
      <c r="I1025" s="21" t="s">
        <v>91</v>
      </c>
      <c r="J1025" s="68">
        <f>+MONTH(ExpenseTable[[#This Row],[Voucher Date]])</f>
        <v>9</v>
      </c>
      <c r="K1025" s="13" t="s">
        <v>238</v>
      </c>
    </row>
    <row r="1026" spans="1:11" x14ac:dyDescent="0.35">
      <c r="A1026" s="15">
        <v>45901</v>
      </c>
      <c r="B1026" s="11" t="s">
        <v>1005</v>
      </c>
      <c r="C1026" s="19">
        <v>45901</v>
      </c>
      <c r="D1026" s="13" t="s">
        <v>1011</v>
      </c>
      <c r="E1026" s="12">
        <v>40000</v>
      </c>
      <c r="F1026" s="21" t="s">
        <v>30</v>
      </c>
      <c r="G1026" s="21" t="s">
        <v>72</v>
      </c>
      <c r="H1026" s="21" t="s">
        <v>73</v>
      </c>
      <c r="I1026" s="21" t="s">
        <v>91</v>
      </c>
      <c r="J1026" s="68">
        <f>+MONTH(ExpenseTable[[#This Row],[Voucher Date]])</f>
        <v>9</v>
      </c>
      <c r="K1026" s="13" t="s">
        <v>238</v>
      </c>
    </row>
    <row r="1027" spans="1:11" x14ac:dyDescent="0.35">
      <c r="A1027" s="15">
        <v>45901</v>
      </c>
      <c r="B1027" s="11" t="s">
        <v>1005</v>
      </c>
      <c r="C1027" s="19">
        <v>45901</v>
      </c>
      <c r="D1027" s="13" t="s">
        <v>1009</v>
      </c>
      <c r="E1027" s="12">
        <v>57692.31</v>
      </c>
      <c r="F1027" s="21" t="s">
        <v>54</v>
      </c>
      <c r="G1027" s="21" t="s">
        <v>80</v>
      </c>
      <c r="H1027" s="21" t="s">
        <v>89</v>
      </c>
      <c r="I1027" s="21" t="s">
        <v>91</v>
      </c>
      <c r="J1027" s="68">
        <f>+MONTH(ExpenseTable[[#This Row],[Voucher Date]])</f>
        <v>9</v>
      </c>
      <c r="K1027" s="13" t="s">
        <v>238</v>
      </c>
    </row>
    <row r="1028" spans="1:11" x14ac:dyDescent="0.35">
      <c r="A1028" s="15">
        <v>45901</v>
      </c>
      <c r="B1028" s="11" t="s">
        <v>1005</v>
      </c>
      <c r="C1028" s="19">
        <v>45901</v>
      </c>
      <c r="D1028" s="13" t="s">
        <v>1008</v>
      </c>
      <c r="E1028" s="12">
        <v>270483.33</v>
      </c>
      <c r="F1028" s="21" t="s">
        <v>54</v>
      </c>
      <c r="G1028" s="21" t="s">
        <v>72</v>
      </c>
      <c r="H1028" s="21" t="s">
        <v>73</v>
      </c>
      <c r="I1028" s="21" t="s">
        <v>91</v>
      </c>
      <c r="J1028" s="68">
        <f>+MONTH(ExpenseTable[[#This Row],[Voucher Date]])</f>
        <v>9</v>
      </c>
      <c r="K1028" s="13" t="s">
        <v>238</v>
      </c>
    </row>
    <row r="1029" spans="1:11" x14ac:dyDescent="0.35">
      <c r="A1029" s="15">
        <v>45901</v>
      </c>
      <c r="B1029" s="11" t="s">
        <v>1005</v>
      </c>
      <c r="C1029" s="19">
        <v>45901</v>
      </c>
      <c r="D1029" s="13" t="s">
        <v>1006</v>
      </c>
      <c r="E1029" s="12">
        <v>311493.33</v>
      </c>
      <c r="F1029" s="21" t="s">
        <v>54</v>
      </c>
      <c r="G1029" s="21" t="s">
        <v>80</v>
      </c>
      <c r="H1029" s="21" t="s">
        <v>89</v>
      </c>
      <c r="I1029" s="21" t="s">
        <v>91</v>
      </c>
      <c r="J1029" s="68">
        <f>+MONTH(ExpenseTable[[#This Row],[Voucher Date]])</f>
        <v>9</v>
      </c>
      <c r="K1029" s="13" t="s">
        <v>238</v>
      </c>
    </row>
    <row r="1030" spans="1:11" x14ac:dyDescent="0.35">
      <c r="A1030" s="15">
        <v>45901</v>
      </c>
      <c r="B1030" s="11" t="s">
        <v>1005</v>
      </c>
      <c r="C1030" s="19">
        <v>45901</v>
      </c>
      <c r="D1030" s="13" t="s">
        <v>1010</v>
      </c>
      <c r="E1030" s="12">
        <v>456346.16</v>
      </c>
      <c r="F1030" s="21" t="s">
        <v>54</v>
      </c>
      <c r="G1030" s="21" t="s">
        <v>67</v>
      </c>
      <c r="H1030" s="21" t="s">
        <v>79</v>
      </c>
      <c r="I1030" s="21" t="s">
        <v>91</v>
      </c>
      <c r="J1030" s="68">
        <f>+MONTH(ExpenseTable[[#This Row],[Voucher Date]])</f>
        <v>9</v>
      </c>
      <c r="K1030" s="13" t="s">
        <v>238</v>
      </c>
    </row>
    <row r="1031" spans="1:11" x14ac:dyDescent="0.35">
      <c r="A1031" s="15">
        <v>45901</v>
      </c>
      <c r="B1031" s="11" t="s">
        <v>1005</v>
      </c>
      <c r="C1031" s="19">
        <v>45901</v>
      </c>
      <c r="D1031" s="13" t="s">
        <v>1007</v>
      </c>
      <c r="E1031" s="12">
        <v>530346.44999999995</v>
      </c>
      <c r="F1031" s="21" t="s">
        <v>54</v>
      </c>
      <c r="G1031" s="21" t="s">
        <v>67</v>
      </c>
      <c r="H1031" s="21" t="s">
        <v>79</v>
      </c>
      <c r="I1031" s="21" t="s">
        <v>91</v>
      </c>
      <c r="J1031" s="68">
        <f>+MONTH(ExpenseTable[[#This Row],[Voucher Date]])</f>
        <v>9</v>
      </c>
      <c r="K1031" s="13" t="s">
        <v>238</v>
      </c>
    </row>
    <row r="1032" spans="1:11" x14ac:dyDescent="0.35">
      <c r="A1032" s="15">
        <v>45901</v>
      </c>
      <c r="B1032" s="11" t="s">
        <v>1040</v>
      </c>
      <c r="C1032" s="19">
        <v>45901</v>
      </c>
      <c r="D1032" s="13" t="s">
        <v>1043</v>
      </c>
      <c r="E1032" s="12">
        <v>30000</v>
      </c>
      <c r="F1032" s="21" t="s">
        <v>30</v>
      </c>
      <c r="G1032" s="21" t="s">
        <v>72</v>
      </c>
      <c r="H1032" s="21" t="s">
        <v>73</v>
      </c>
      <c r="I1032" s="21" t="s">
        <v>91</v>
      </c>
      <c r="J1032" s="68">
        <f>+MONTH(ExpenseTable[[#This Row],[Voucher Date]])</f>
        <v>9</v>
      </c>
      <c r="K1032" s="13" t="s">
        <v>108</v>
      </c>
    </row>
    <row r="1033" spans="1:11" x14ac:dyDescent="0.35">
      <c r="A1033" s="15">
        <v>45901</v>
      </c>
      <c r="B1033" s="11" t="s">
        <v>1040</v>
      </c>
      <c r="C1033" s="19">
        <v>45901</v>
      </c>
      <c r="D1033" s="13" t="s">
        <v>1041</v>
      </c>
      <c r="E1033" s="12">
        <v>270000</v>
      </c>
      <c r="F1033" s="21" t="s">
        <v>38</v>
      </c>
      <c r="G1033" s="21" t="s">
        <v>72</v>
      </c>
      <c r="H1033" s="21" t="s">
        <v>73</v>
      </c>
      <c r="I1033" s="21" t="s">
        <v>91</v>
      </c>
      <c r="J1033" s="68">
        <f>+MONTH(ExpenseTable[[#This Row],[Voucher Date]])</f>
        <v>9</v>
      </c>
      <c r="K1033" s="13" t="s">
        <v>108</v>
      </c>
    </row>
    <row r="1034" spans="1:11" x14ac:dyDescent="0.35">
      <c r="A1034" s="15">
        <v>45901</v>
      </c>
      <c r="B1034" s="11" t="s">
        <v>1040</v>
      </c>
      <c r="C1034" s="19">
        <v>45901</v>
      </c>
      <c r="D1034" s="13" t="s">
        <v>1042</v>
      </c>
      <c r="E1034" s="12">
        <v>300000</v>
      </c>
      <c r="F1034" s="21" t="s">
        <v>38</v>
      </c>
      <c r="G1034" s="21" t="s">
        <v>72</v>
      </c>
      <c r="H1034" s="21" t="s">
        <v>73</v>
      </c>
      <c r="I1034" s="21" t="s">
        <v>91</v>
      </c>
      <c r="J1034" s="68">
        <f>+MONTH(ExpenseTable[[#This Row],[Voucher Date]])</f>
        <v>9</v>
      </c>
      <c r="K1034" s="13" t="s">
        <v>108</v>
      </c>
    </row>
    <row r="1035" spans="1:11" x14ac:dyDescent="0.35">
      <c r="A1035" s="15">
        <v>45901</v>
      </c>
      <c r="B1035" s="11" t="s">
        <v>1044</v>
      </c>
      <c r="C1035" s="19">
        <v>45901</v>
      </c>
      <c r="D1035" s="13" t="s">
        <v>1045</v>
      </c>
      <c r="E1035" s="12">
        <v>16500</v>
      </c>
      <c r="F1035" s="21" t="s">
        <v>31</v>
      </c>
      <c r="G1035" s="21" t="s">
        <v>72</v>
      </c>
      <c r="H1035" s="21" t="s">
        <v>73</v>
      </c>
      <c r="I1035" s="21" t="s">
        <v>90</v>
      </c>
      <c r="J1035" s="68">
        <f>+MONTH(ExpenseTable[[#This Row],[Voucher Date]])</f>
        <v>9</v>
      </c>
      <c r="K1035" s="13" t="s">
        <v>108</v>
      </c>
    </row>
    <row r="1036" spans="1:11" x14ac:dyDescent="0.35">
      <c r="A1036" s="15">
        <v>45901</v>
      </c>
      <c r="B1036" s="11" t="s">
        <v>1044</v>
      </c>
      <c r="C1036" s="19">
        <v>45901</v>
      </c>
      <c r="D1036" s="13" t="s">
        <v>171</v>
      </c>
      <c r="E1036" s="12">
        <v>40000</v>
      </c>
      <c r="F1036" s="21" t="s">
        <v>40</v>
      </c>
      <c r="G1036" s="21" t="s">
        <v>67</v>
      </c>
      <c r="H1036" s="21" t="s">
        <v>79</v>
      </c>
      <c r="I1036" s="21" t="s">
        <v>90</v>
      </c>
      <c r="J1036" s="68">
        <f>+MONTH(ExpenseTable[[#This Row],[Voucher Date]])</f>
        <v>9</v>
      </c>
      <c r="K1036" s="13" t="s">
        <v>108</v>
      </c>
    </row>
    <row r="1037" spans="1:11" x14ac:dyDescent="0.35">
      <c r="A1037" s="15">
        <v>45901</v>
      </c>
      <c r="B1037" s="11" t="s">
        <v>1044</v>
      </c>
      <c r="C1037" s="19">
        <v>45901</v>
      </c>
      <c r="D1037" s="13" t="s">
        <v>1046</v>
      </c>
      <c r="E1037" s="12">
        <v>80000</v>
      </c>
      <c r="F1037" s="21" t="s">
        <v>20</v>
      </c>
      <c r="G1037" s="21" t="s">
        <v>72</v>
      </c>
      <c r="H1037" s="21" t="s">
        <v>73</v>
      </c>
      <c r="I1037" s="21" t="s">
        <v>90</v>
      </c>
      <c r="J1037" s="68">
        <f>+MONTH(ExpenseTable[[#This Row],[Voucher Date]])</f>
        <v>9</v>
      </c>
      <c r="K1037" s="13" t="s">
        <v>108</v>
      </c>
    </row>
    <row r="1038" spans="1:11" x14ac:dyDescent="0.35">
      <c r="A1038" s="15">
        <v>45906</v>
      </c>
      <c r="B1038" s="11" t="s">
        <v>1014</v>
      </c>
      <c r="C1038" s="19">
        <v>45903</v>
      </c>
      <c r="D1038" s="13" t="s">
        <v>1020</v>
      </c>
      <c r="E1038" s="12">
        <v>9000</v>
      </c>
      <c r="F1038" s="21" t="s">
        <v>54</v>
      </c>
      <c r="G1038" s="21" t="s">
        <v>1016</v>
      </c>
      <c r="H1038" s="21" t="s">
        <v>79</v>
      </c>
      <c r="I1038" s="21" t="s">
        <v>90</v>
      </c>
      <c r="J1038" s="68">
        <f>+MONTH(ExpenseTable[[#This Row],[Voucher Date]])</f>
        <v>9</v>
      </c>
      <c r="K1038" s="13" t="s">
        <v>1015</v>
      </c>
    </row>
    <row r="1039" spans="1:11" x14ac:dyDescent="0.35">
      <c r="A1039" s="15">
        <v>45909</v>
      </c>
      <c r="B1039" s="11" t="s">
        <v>1014</v>
      </c>
      <c r="C1039" s="19">
        <v>45903</v>
      </c>
      <c r="D1039" s="13" t="s">
        <v>171</v>
      </c>
      <c r="E1039" s="12">
        <v>15000</v>
      </c>
      <c r="F1039" s="21" t="s">
        <v>40</v>
      </c>
      <c r="G1039" s="21" t="s">
        <v>80</v>
      </c>
      <c r="H1039" s="21" t="s">
        <v>89</v>
      </c>
      <c r="I1039" s="21" t="s">
        <v>90</v>
      </c>
      <c r="J1039" s="68">
        <f>+MONTH(ExpenseTable[[#This Row],[Voucher Date]])</f>
        <v>9</v>
      </c>
      <c r="K1039" s="13" t="s">
        <v>1015</v>
      </c>
    </row>
    <row r="1040" spans="1:11" x14ac:dyDescent="0.35">
      <c r="A1040" s="15">
        <v>45903</v>
      </c>
      <c r="B1040" s="11" t="s">
        <v>1014</v>
      </c>
      <c r="C1040" s="19">
        <v>45903</v>
      </c>
      <c r="D1040" s="13" t="s">
        <v>1018</v>
      </c>
      <c r="E1040" s="12">
        <v>18000</v>
      </c>
      <c r="F1040" s="21" t="s">
        <v>54</v>
      </c>
      <c r="G1040" s="21" t="s">
        <v>72</v>
      </c>
      <c r="H1040" s="21" t="s">
        <v>73</v>
      </c>
      <c r="I1040" s="21" t="s">
        <v>90</v>
      </c>
      <c r="J1040" s="68">
        <f>+MONTH(ExpenseTable[[#This Row],[Voucher Date]])</f>
        <v>9</v>
      </c>
      <c r="K1040" s="13" t="s">
        <v>1015</v>
      </c>
    </row>
    <row r="1041" spans="1:11" x14ac:dyDescent="0.35">
      <c r="A1041" s="15">
        <v>45911</v>
      </c>
      <c r="B1041" s="11" t="s">
        <v>1014</v>
      </c>
      <c r="C1041" s="19">
        <v>45903</v>
      </c>
      <c r="D1041" s="13" t="s">
        <v>171</v>
      </c>
      <c r="E1041" s="12">
        <v>30000</v>
      </c>
      <c r="F1041" s="21" t="s">
        <v>40</v>
      </c>
      <c r="G1041" s="21" t="s">
        <v>1016</v>
      </c>
      <c r="H1041" s="21" t="s">
        <v>79</v>
      </c>
      <c r="I1041" s="21" t="s">
        <v>90</v>
      </c>
      <c r="J1041" s="68">
        <f>+MONTH(ExpenseTable[[#This Row],[Voucher Date]])</f>
        <v>9</v>
      </c>
      <c r="K1041" s="13" t="s">
        <v>1015</v>
      </c>
    </row>
    <row r="1042" spans="1:11" x14ac:dyDescent="0.35">
      <c r="A1042" s="15">
        <v>45916</v>
      </c>
      <c r="B1042" s="11" t="s">
        <v>1014</v>
      </c>
      <c r="C1042" s="19">
        <v>45903</v>
      </c>
      <c r="D1042" s="13" t="s">
        <v>171</v>
      </c>
      <c r="E1042" s="12">
        <v>30000</v>
      </c>
      <c r="F1042" s="21" t="s">
        <v>40</v>
      </c>
      <c r="G1042" s="21" t="s">
        <v>1016</v>
      </c>
      <c r="H1042" s="21" t="s">
        <v>79</v>
      </c>
      <c r="I1042" s="21" t="s">
        <v>90</v>
      </c>
      <c r="J1042" s="68">
        <f>+MONTH(ExpenseTable[[#This Row],[Voucher Date]])</f>
        <v>9</v>
      </c>
      <c r="K1042" s="13" t="s">
        <v>1015</v>
      </c>
    </row>
    <row r="1043" spans="1:11" x14ac:dyDescent="0.35">
      <c r="A1043" s="15">
        <v>45911</v>
      </c>
      <c r="B1043" s="11" t="s">
        <v>1014</v>
      </c>
      <c r="C1043" s="19">
        <v>45903</v>
      </c>
      <c r="D1043" s="13" t="s">
        <v>288</v>
      </c>
      <c r="E1043" s="12">
        <v>40000</v>
      </c>
      <c r="F1043" s="21" t="s">
        <v>40</v>
      </c>
      <c r="G1043" s="21" t="s">
        <v>67</v>
      </c>
      <c r="H1043" s="21" t="s">
        <v>79</v>
      </c>
      <c r="I1043" s="21" t="s">
        <v>90</v>
      </c>
      <c r="J1043" s="68">
        <f>+MONTH(ExpenseTable[[#This Row],[Voucher Date]])</f>
        <v>9</v>
      </c>
      <c r="K1043" s="13" t="s">
        <v>1015</v>
      </c>
    </row>
    <row r="1044" spans="1:11" x14ac:dyDescent="0.35">
      <c r="A1044" s="15">
        <v>45906</v>
      </c>
      <c r="B1044" s="11" t="s">
        <v>1014</v>
      </c>
      <c r="C1044" s="19">
        <v>45903</v>
      </c>
      <c r="D1044" s="13" t="s">
        <v>1017</v>
      </c>
      <c r="E1044" s="12">
        <v>60000</v>
      </c>
      <c r="F1044" s="21" t="s">
        <v>40</v>
      </c>
      <c r="G1044" s="21" t="s">
        <v>72</v>
      </c>
      <c r="H1044" s="21" t="s">
        <v>73</v>
      </c>
      <c r="I1044" s="21" t="s">
        <v>90</v>
      </c>
      <c r="J1044" s="68">
        <f>+MONTH(ExpenseTable[[#This Row],[Voucher Date]])</f>
        <v>9</v>
      </c>
      <c r="K1044" s="13" t="s">
        <v>1015</v>
      </c>
    </row>
    <row r="1045" spans="1:11" x14ac:dyDescent="0.35">
      <c r="A1045" s="15">
        <v>45904</v>
      </c>
      <c r="B1045" s="11" t="s">
        <v>1014</v>
      </c>
      <c r="C1045" s="19">
        <v>45903</v>
      </c>
      <c r="D1045" s="13" t="s">
        <v>1019</v>
      </c>
      <c r="E1045" s="12">
        <v>140000</v>
      </c>
      <c r="F1045" s="21" t="s">
        <v>96</v>
      </c>
      <c r="G1045" s="21" t="s">
        <v>67</v>
      </c>
      <c r="H1045" s="21" t="s">
        <v>79</v>
      </c>
      <c r="I1045" s="21" t="s">
        <v>90</v>
      </c>
      <c r="J1045" s="68">
        <f>+MONTH(ExpenseTable[[#This Row],[Voucher Date]])</f>
        <v>9</v>
      </c>
      <c r="K1045" s="13" t="s">
        <v>1015</v>
      </c>
    </row>
    <row r="1046" spans="1:11" x14ac:dyDescent="0.35">
      <c r="A1046" s="15">
        <v>45917</v>
      </c>
      <c r="B1046" s="11" t="s">
        <v>1033</v>
      </c>
      <c r="C1046" s="19">
        <v>45906</v>
      </c>
      <c r="D1046" s="13" t="s">
        <v>1037</v>
      </c>
      <c r="E1046" s="12">
        <v>30000</v>
      </c>
      <c r="F1046" s="21" t="s">
        <v>54</v>
      </c>
      <c r="G1046" s="21" t="s">
        <v>80</v>
      </c>
      <c r="H1046" s="21" t="s">
        <v>89</v>
      </c>
      <c r="I1046" s="21" t="s">
        <v>90</v>
      </c>
      <c r="J1046" s="68">
        <f>+MONTH(ExpenseTable[[#This Row],[Voucher Date]])</f>
        <v>9</v>
      </c>
      <c r="K1046" s="13" t="s">
        <v>1039</v>
      </c>
    </row>
    <row r="1047" spans="1:11" x14ac:dyDescent="0.35">
      <c r="A1047" s="15">
        <v>45917</v>
      </c>
      <c r="B1047" s="11" t="s">
        <v>1033</v>
      </c>
      <c r="C1047" s="19">
        <v>45906</v>
      </c>
      <c r="D1047" s="13" t="s">
        <v>1038</v>
      </c>
      <c r="E1047" s="12">
        <v>51847.06</v>
      </c>
      <c r="F1047" s="21" t="s">
        <v>39</v>
      </c>
      <c r="G1047" s="21" t="s">
        <v>72</v>
      </c>
      <c r="H1047" s="21" t="s">
        <v>73</v>
      </c>
      <c r="I1047" s="21" t="s">
        <v>90</v>
      </c>
      <c r="J1047" s="68">
        <f>+MONTH(ExpenseTable[[#This Row],[Voucher Date]])</f>
        <v>9</v>
      </c>
      <c r="K1047" s="13" t="s">
        <v>1039</v>
      </c>
    </row>
    <row r="1048" spans="1:11" x14ac:dyDescent="0.35">
      <c r="A1048" s="15">
        <v>45916</v>
      </c>
      <c r="B1048" s="11" t="s">
        <v>1033</v>
      </c>
      <c r="C1048" s="19">
        <v>45906</v>
      </c>
      <c r="D1048" s="13" t="s">
        <v>1035</v>
      </c>
      <c r="E1048" s="12">
        <v>81600</v>
      </c>
      <c r="F1048" s="21" t="s">
        <v>27</v>
      </c>
      <c r="G1048" s="21" t="s">
        <v>72</v>
      </c>
      <c r="H1048" s="21" t="s">
        <v>73</v>
      </c>
      <c r="I1048" s="21" t="s">
        <v>90</v>
      </c>
      <c r="J1048" s="68">
        <f>+MONTH(ExpenseTable[[#This Row],[Voucher Date]])</f>
        <v>9</v>
      </c>
      <c r="K1048" s="13" t="s">
        <v>1039</v>
      </c>
    </row>
    <row r="1049" spans="1:11" x14ac:dyDescent="0.35">
      <c r="A1049" s="15">
        <v>45922</v>
      </c>
      <c r="B1049" s="11" t="s">
        <v>1033</v>
      </c>
      <c r="C1049" s="19">
        <v>45906</v>
      </c>
      <c r="D1049" s="13" t="s">
        <v>1036</v>
      </c>
      <c r="E1049" s="12">
        <v>160000</v>
      </c>
      <c r="F1049" s="21" t="s">
        <v>20</v>
      </c>
      <c r="G1049" s="21" t="s">
        <v>72</v>
      </c>
      <c r="H1049" s="21" t="s">
        <v>73</v>
      </c>
      <c r="I1049" s="21" t="s">
        <v>90</v>
      </c>
      <c r="J1049" s="68">
        <f>+MONTH(ExpenseTable[[#This Row],[Voucher Date]])</f>
        <v>9</v>
      </c>
      <c r="K1049" s="13" t="s">
        <v>1039</v>
      </c>
    </row>
    <row r="1050" spans="1:11" x14ac:dyDescent="0.35">
      <c r="A1050" s="15">
        <v>45916</v>
      </c>
      <c r="B1050" s="11" t="s">
        <v>1033</v>
      </c>
      <c r="C1050" s="19">
        <v>45906</v>
      </c>
      <c r="D1050" s="13" t="s">
        <v>1034</v>
      </c>
      <c r="E1050" s="12">
        <v>407500</v>
      </c>
      <c r="F1050" s="21" t="s">
        <v>88</v>
      </c>
      <c r="G1050" s="21" t="s">
        <v>72</v>
      </c>
      <c r="H1050" s="21" t="s">
        <v>73</v>
      </c>
      <c r="I1050" s="21" t="s">
        <v>90</v>
      </c>
      <c r="J1050" s="68">
        <f>+MONTH(ExpenseTable[[#This Row],[Voucher Date]])</f>
        <v>9</v>
      </c>
      <c r="K1050" s="13" t="s">
        <v>1039</v>
      </c>
    </row>
    <row r="1051" spans="1:11" x14ac:dyDescent="0.35">
      <c r="A1051" s="15">
        <v>45913</v>
      </c>
      <c r="B1051" s="11" t="s">
        <v>1030</v>
      </c>
      <c r="C1051" s="19">
        <v>45913</v>
      </c>
      <c r="D1051" s="13" t="s">
        <v>1031</v>
      </c>
      <c r="E1051" s="12">
        <v>12000</v>
      </c>
      <c r="F1051" s="21" t="s">
        <v>54</v>
      </c>
      <c r="G1051" s="21" t="s">
        <v>80</v>
      </c>
      <c r="H1051" s="21" t="s">
        <v>89</v>
      </c>
      <c r="I1051" s="21" t="s">
        <v>90</v>
      </c>
      <c r="J1051" s="68">
        <f>+MONTH(ExpenseTable[[#This Row],[Voucher Date]])</f>
        <v>9</v>
      </c>
      <c r="K1051" s="13" t="s">
        <v>1015</v>
      </c>
    </row>
    <row r="1052" spans="1:11" x14ac:dyDescent="0.35">
      <c r="A1052" s="15">
        <v>45914</v>
      </c>
      <c r="B1052" s="11" t="s">
        <v>1030</v>
      </c>
      <c r="C1052" s="19">
        <v>45913</v>
      </c>
      <c r="D1052" s="13" t="s">
        <v>1032</v>
      </c>
      <c r="E1052" s="12">
        <v>81600</v>
      </c>
      <c r="F1052" s="21" t="s">
        <v>54</v>
      </c>
      <c r="G1052" s="21" t="s">
        <v>80</v>
      </c>
      <c r="H1052" s="21" t="s">
        <v>89</v>
      </c>
      <c r="I1052" s="21" t="s">
        <v>90</v>
      </c>
      <c r="J1052" s="68">
        <f>+MONTH(ExpenseTable[[#This Row],[Voucher Date]])</f>
        <v>9</v>
      </c>
      <c r="K1052" s="13" t="s">
        <v>1015</v>
      </c>
    </row>
    <row r="1053" spans="1:11" x14ac:dyDescent="0.35">
      <c r="A1053" s="15">
        <v>45930</v>
      </c>
      <c r="B1053" s="11" t="s">
        <v>1093</v>
      </c>
      <c r="C1053" s="19">
        <v>45930</v>
      </c>
      <c r="D1053" s="13" t="s">
        <v>1096</v>
      </c>
      <c r="E1053" s="12">
        <v>10000</v>
      </c>
      <c r="F1053" s="21" t="s">
        <v>30</v>
      </c>
      <c r="G1053" s="21" t="s">
        <v>72</v>
      </c>
      <c r="H1053" s="21" t="s">
        <v>73</v>
      </c>
      <c r="I1053" s="21" t="s">
        <v>90</v>
      </c>
      <c r="J1053" s="68">
        <f>+MONTH(ExpenseTable[[#This Row],[Voucher Date]])</f>
        <v>9</v>
      </c>
      <c r="K1053" s="13" t="s">
        <v>1039</v>
      </c>
    </row>
    <row r="1054" spans="1:11" x14ac:dyDescent="0.35">
      <c r="A1054" s="15">
        <v>45930</v>
      </c>
      <c r="B1054" s="11" t="s">
        <v>1093</v>
      </c>
      <c r="C1054" s="19">
        <v>45930</v>
      </c>
      <c r="D1054" s="13" t="s">
        <v>1095</v>
      </c>
      <c r="E1054" s="12">
        <v>30000</v>
      </c>
      <c r="F1054" s="21" t="s">
        <v>54</v>
      </c>
      <c r="G1054" s="21" t="s">
        <v>80</v>
      </c>
      <c r="H1054" s="21" t="s">
        <v>89</v>
      </c>
      <c r="I1054" s="21" t="s">
        <v>90</v>
      </c>
      <c r="J1054" s="68">
        <f>+MONTH(ExpenseTable[[#This Row],[Voucher Date]])</f>
        <v>9</v>
      </c>
      <c r="K1054" s="13" t="s">
        <v>1039</v>
      </c>
    </row>
    <row r="1055" spans="1:11" x14ac:dyDescent="0.35">
      <c r="A1055" s="15">
        <v>45930</v>
      </c>
      <c r="B1055" s="11" t="s">
        <v>1093</v>
      </c>
      <c r="C1055" s="19">
        <v>45930</v>
      </c>
      <c r="D1055" s="13" t="s">
        <v>1094</v>
      </c>
      <c r="E1055" s="12">
        <v>60000</v>
      </c>
      <c r="F1055" s="21" t="s">
        <v>20</v>
      </c>
      <c r="G1055" s="21" t="s">
        <v>72</v>
      </c>
      <c r="H1055" s="21" t="s">
        <v>73</v>
      </c>
      <c r="I1055" s="21" t="s">
        <v>90</v>
      </c>
      <c r="J1055" s="68">
        <f>+MONTH(ExpenseTable[[#This Row],[Voucher Date]])</f>
        <v>9</v>
      </c>
      <c r="K1055" s="13" t="s">
        <v>1039</v>
      </c>
    </row>
    <row r="1056" spans="1:11" x14ac:dyDescent="0.35">
      <c r="A1056" s="15">
        <v>45930</v>
      </c>
      <c r="B1056" s="11" t="s">
        <v>1104</v>
      </c>
      <c r="C1056" s="19">
        <v>45930</v>
      </c>
      <c r="D1056" s="13" t="s">
        <v>1110</v>
      </c>
      <c r="E1056" s="12">
        <v>17307.689999999999</v>
      </c>
      <c r="F1056" s="21" t="s">
        <v>54</v>
      </c>
      <c r="G1056" s="21" t="s">
        <v>72</v>
      </c>
      <c r="H1056" s="21" t="s">
        <v>73</v>
      </c>
      <c r="I1056" s="21" t="s">
        <v>91</v>
      </c>
      <c r="J1056" s="68">
        <f>+MONTH(ExpenseTable[[#This Row],[Voucher Date]])</f>
        <v>9</v>
      </c>
      <c r="K1056" s="13" t="s">
        <v>1039</v>
      </c>
    </row>
    <row r="1057" spans="1:11" x14ac:dyDescent="0.35">
      <c r="A1057" s="15">
        <v>45930</v>
      </c>
      <c r="B1057" s="11" t="s">
        <v>1104</v>
      </c>
      <c r="C1057" s="19">
        <v>45930</v>
      </c>
      <c r="D1057" s="13" t="s">
        <v>1111</v>
      </c>
      <c r="E1057" s="12">
        <v>30000</v>
      </c>
      <c r="F1057" s="21" t="s">
        <v>4</v>
      </c>
      <c r="G1057" s="21" t="s">
        <v>72</v>
      </c>
      <c r="H1057" s="21" t="s">
        <v>73</v>
      </c>
      <c r="I1057" s="21" t="s">
        <v>91</v>
      </c>
      <c r="J1057" s="68">
        <f>+MONTH(ExpenseTable[[#This Row],[Voucher Date]])</f>
        <v>9</v>
      </c>
      <c r="K1057" s="13" t="s">
        <v>1039</v>
      </c>
    </row>
    <row r="1058" spans="1:11" x14ac:dyDescent="0.35">
      <c r="A1058" s="15">
        <v>45930</v>
      </c>
      <c r="B1058" s="11" t="s">
        <v>1104</v>
      </c>
      <c r="C1058" s="19">
        <v>45930</v>
      </c>
      <c r="D1058" s="13" t="s">
        <v>1112</v>
      </c>
      <c r="E1058" s="12">
        <v>30000</v>
      </c>
      <c r="F1058" s="21" t="s">
        <v>30</v>
      </c>
      <c r="G1058" s="21" t="s">
        <v>72</v>
      </c>
      <c r="H1058" s="21" t="s">
        <v>73</v>
      </c>
      <c r="I1058" s="21" t="s">
        <v>91</v>
      </c>
      <c r="J1058" s="68">
        <f>+MONTH(ExpenseTable[[#This Row],[Voucher Date]])</f>
        <v>9</v>
      </c>
      <c r="K1058" s="13" t="s">
        <v>1039</v>
      </c>
    </row>
    <row r="1059" spans="1:11" x14ac:dyDescent="0.35">
      <c r="A1059" s="15">
        <v>45930</v>
      </c>
      <c r="B1059" s="11" t="s">
        <v>1104</v>
      </c>
      <c r="C1059" s="19">
        <v>45930</v>
      </c>
      <c r="D1059" s="13" t="s">
        <v>1108</v>
      </c>
      <c r="E1059" s="12">
        <v>77885.61</v>
      </c>
      <c r="F1059" s="21" t="s">
        <v>54</v>
      </c>
      <c r="G1059" s="21" t="s">
        <v>80</v>
      </c>
      <c r="H1059" s="21" t="s">
        <v>89</v>
      </c>
      <c r="I1059" s="21" t="s">
        <v>91</v>
      </c>
      <c r="J1059" s="68">
        <f>+MONTH(ExpenseTable[[#This Row],[Voucher Date]])</f>
        <v>9</v>
      </c>
      <c r="K1059" s="13" t="s">
        <v>1039</v>
      </c>
    </row>
    <row r="1060" spans="1:11" x14ac:dyDescent="0.35">
      <c r="A1060" s="15">
        <v>45930</v>
      </c>
      <c r="B1060" s="11" t="s">
        <v>1104</v>
      </c>
      <c r="C1060" s="19">
        <v>45930</v>
      </c>
      <c r="D1060" s="13" t="s">
        <v>1107</v>
      </c>
      <c r="E1060" s="12">
        <v>98653.23</v>
      </c>
      <c r="F1060" s="21" t="s">
        <v>54</v>
      </c>
      <c r="G1060" s="21" t="s">
        <v>1016</v>
      </c>
      <c r="H1060" s="21" t="s">
        <v>79</v>
      </c>
      <c r="I1060" s="21" t="s">
        <v>91</v>
      </c>
      <c r="J1060" s="68">
        <f>+MONTH(ExpenseTable[[#This Row],[Voucher Date]])</f>
        <v>9</v>
      </c>
      <c r="K1060" s="13" t="s">
        <v>1039</v>
      </c>
    </row>
    <row r="1061" spans="1:11" x14ac:dyDescent="0.35">
      <c r="A1061" s="15">
        <v>45930</v>
      </c>
      <c r="B1061" s="11" t="s">
        <v>1104</v>
      </c>
      <c r="C1061" s="19">
        <v>45930</v>
      </c>
      <c r="D1061" s="13" t="s">
        <v>1106</v>
      </c>
      <c r="E1061" s="12">
        <v>275769.23</v>
      </c>
      <c r="F1061" s="21" t="s">
        <v>54</v>
      </c>
      <c r="G1061" s="21" t="s">
        <v>67</v>
      </c>
      <c r="H1061" s="21" t="s">
        <v>79</v>
      </c>
      <c r="I1061" s="21" t="s">
        <v>91</v>
      </c>
      <c r="J1061" s="68">
        <f>+MONTH(ExpenseTable[[#This Row],[Voucher Date]])</f>
        <v>9</v>
      </c>
      <c r="K1061" s="13" t="s">
        <v>1039</v>
      </c>
    </row>
    <row r="1062" spans="1:11" x14ac:dyDescent="0.35">
      <c r="A1062" s="15">
        <v>45930</v>
      </c>
      <c r="B1062" s="11" t="s">
        <v>1104</v>
      </c>
      <c r="C1062" s="19">
        <v>45930</v>
      </c>
      <c r="D1062" s="13" t="s">
        <v>1109</v>
      </c>
      <c r="E1062" s="12">
        <v>533000</v>
      </c>
      <c r="F1062" s="21" t="s">
        <v>38</v>
      </c>
      <c r="G1062" s="21" t="s">
        <v>72</v>
      </c>
      <c r="H1062" s="21" t="s">
        <v>73</v>
      </c>
      <c r="I1062" s="21" t="s">
        <v>91</v>
      </c>
      <c r="J1062" s="68">
        <f>+MONTH(ExpenseTable[[#This Row],[Voucher Date]])</f>
        <v>9</v>
      </c>
      <c r="K1062" s="13" t="s">
        <v>1039</v>
      </c>
    </row>
    <row r="1063" spans="1:11" x14ac:dyDescent="0.35">
      <c r="A1063" s="15">
        <v>45930</v>
      </c>
      <c r="B1063" s="11" t="s">
        <v>1104</v>
      </c>
      <c r="C1063" s="19">
        <v>45930</v>
      </c>
      <c r="D1063" s="13" t="s">
        <v>1105</v>
      </c>
      <c r="E1063" s="12">
        <v>995564.85</v>
      </c>
      <c r="F1063" s="21" t="s">
        <v>29</v>
      </c>
      <c r="G1063" s="21" t="s">
        <v>72</v>
      </c>
      <c r="H1063" s="21" t="s">
        <v>73</v>
      </c>
      <c r="I1063" s="21" t="s">
        <v>91</v>
      </c>
      <c r="J1063" s="68">
        <f>+MONTH(ExpenseTable[[#This Row],[Voucher Date]])</f>
        <v>9</v>
      </c>
      <c r="K1063" s="13" t="s">
        <v>1039</v>
      </c>
    </row>
    <row r="1064" spans="1:11" x14ac:dyDescent="0.35">
      <c r="A1064" s="15">
        <v>45932</v>
      </c>
      <c r="B1064" s="11" t="s">
        <v>1063</v>
      </c>
      <c r="C1064" s="19">
        <v>45932</v>
      </c>
      <c r="D1064" s="13" t="s">
        <v>1067</v>
      </c>
      <c r="E1064" s="12">
        <v>10200</v>
      </c>
      <c r="F1064" s="21" t="s">
        <v>96</v>
      </c>
      <c r="G1064" s="21" t="s">
        <v>80</v>
      </c>
      <c r="H1064" s="21" t="s">
        <v>89</v>
      </c>
      <c r="I1064" s="21" t="s">
        <v>90</v>
      </c>
      <c r="J1064" s="68">
        <f>+MONTH(ExpenseTable[[#This Row],[Voucher Date]])</f>
        <v>10</v>
      </c>
      <c r="K1064" s="13" t="s">
        <v>1015</v>
      </c>
    </row>
    <row r="1065" spans="1:11" x14ac:dyDescent="0.35">
      <c r="A1065" s="15">
        <v>45932</v>
      </c>
      <c r="B1065" s="11" t="s">
        <v>1063</v>
      </c>
      <c r="C1065" s="19">
        <v>45932</v>
      </c>
      <c r="D1065" s="13" t="s">
        <v>1069</v>
      </c>
      <c r="E1065" s="12">
        <v>14000</v>
      </c>
      <c r="F1065" s="21" t="s">
        <v>31</v>
      </c>
      <c r="G1065" s="21" t="s">
        <v>72</v>
      </c>
      <c r="H1065" s="21" t="s">
        <v>73</v>
      </c>
      <c r="I1065" s="21" t="s">
        <v>90</v>
      </c>
      <c r="J1065" s="68">
        <f>+MONTH(ExpenseTable[[#This Row],[Voucher Date]])</f>
        <v>10</v>
      </c>
      <c r="K1065" s="13" t="s">
        <v>1015</v>
      </c>
    </row>
    <row r="1066" spans="1:11" x14ac:dyDescent="0.35">
      <c r="A1066" s="15">
        <v>45932</v>
      </c>
      <c r="B1066" s="11" t="s">
        <v>1063</v>
      </c>
      <c r="C1066" s="19">
        <v>45932</v>
      </c>
      <c r="D1066" s="13" t="s">
        <v>1065</v>
      </c>
      <c r="E1066" s="12">
        <v>15000</v>
      </c>
      <c r="F1066" s="21" t="s">
        <v>54</v>
      </c>
      <c r="G1066" s="21" t="s">
        <v>72</v>
      </c>
      <c r="H1066" s="21" t="s">
        <v>73</v>
      </c>
      <c r="I1066" s="21" t="s">
        <v>90</v>
      </c>
      <c r="J1066" s="68">
        <f>+MONTH(ExpenseTable[[#This Row],[Voucher Date]])</f>
        <v>10</v>
      </c>
      <c r="K1066" s="13" t="s">
        <v>1015</v>
      </c>
    </row>
    <row r="1067" spans="1:11" x14ac:dyDescent="0.35">
      <c r="A1067" s="15">
        <v>45932</v>
      </c>
      <c r="B1067" s="11" t="s">
        <v>1063</v>
      </c>
      <c r="C1067" s="19">
        <v>45932</v>
      </c>
      <c r="D1067" s="13" t="s">
        <v>1068</v>
      </c>
      <c r="E1067" s="12">
        <v>15000</v>
      </c>
      <c r="F1067" s="21" t="s">
        <v>29</v>
      </c>
      <c r="G1067" s="21" t="s">
        <v>72</v>
      </c>
      <c r="H1067" s="21" t="s">
        <v>73</v>
      </c>
      <c r="I1067" s="21" t="s">
        <v>90</v>
      </c>
      <c r="J1067" s="68">
        <f>+MONTH(ExpenseTable[[#This Row],[Voucher Date]])</f>
        <v>10</v>
      </c>
      <c r="K1067" s="13" t="s">
        <v>1015</v>
      </c>
    </row>
    <row r="1068" spans="1:11" x14ac:dyDescent="0.35">
      <c r="A1068" s="15">
        <v>45932</v>
      </c>
      <c r="B1068" s="11" t="s">
        <v>1063</v>
      </c>
      <c r="C1068" s="19">
        <v>45932</v>
      </c>
      <c r="D1068" s="13" t="s">
        <v>1064</v>
      </c>
      <c r="E1068" s="12">
        <v>25961.54</v>
      </c>
      <c r="F1068" s="21" t="s">
        <v>29</v>
      </c>
      <c r="G1068" s="21" t="s">
        <v>72</v>
      </c>
      <c r="H1068" s="21" t="s">
        <v>73</v>
      </c>
      <c r="I1068" s="21" t="s">
        <v>90</v>
      </c>
      <c r="J1068" s="68">
        <f>+MONTH(ExpenseTable[[#This Row],[Voucher Date]])</f>
        <v>10</v>
      </c>
      <c r="K1068" s="13" t="s">
        <v>1015</v>
      </c>
    </row>
    <row r="1069" spans="1:11" x14ac:dyDescent="0.35">
      <c r="A1069" s="15">
        <v>45932</v>
      </c>
      <c r="B1069" s="11" t="s">
        <v>1063</v>
      </c>
      <c r="C1069" s="19">
        <v>45932</v>
      </c>
      <c r="D1069" s="13" t="s">
        <v>288</v>
      </c>
      <c r="E1069" s="12">
        <v>30000</v>
      </c>
      <c r="F1069" s="21" t="s">
        <v>40</v>
      </c>
      <c r="G1069" s="21" t="s">
        <v>67</v>
      </c>
      <c r="H1069" s="21" t="s">
        <v>79</v>
      </c>
      <c r="I1069" s="21" t="s">
        <v>90</v>
      </c>
      <c r="J1069" s="68">
        <f>+MONTH(ExpenseTable[[#This Row],[Voucher Date]])</f>
        <v>10</v>
      </c>
      <c r="K1069" s="13" t="s">
        <v>1015</v>
      </c>
    </row>
    <row r="1070" spans="1:11" x14ac:dyDescent="0.35">
      <c r="A1070" s="15">
        <v>45932</v>
      </c>
      <c r="B1070" s="11" t="s">
        <v>1063</v>
      </c>
      <c r="C1070" s="19">
        <v>45932</v>
      </c>
      <c r="D1070" s="13" t="s">
        <v>1066</v>
      </c>
      <c r="E1070" s="12">
        <v>30000</v>
      </c>
      <c r="F1070" s="21" t="s">
        <v>20</v>
      </c>
      <c r="G1070" s="21" t="s">
        <v>72</v>
      </c>
      <c r="H1070" s="21" t="s">
        <v>73</v>
      </c>
      <c r="I1070" s="21" t="s">
        <v>90</v>
      </c>
      <c r="J1070" s="68">
        <f>+MONTH(ExpenseTable[[#This Row],[Voucher Date]])</f>
        <v>10</v>
      </c>
      <c r="K1070" s="13" t="s">
        <v>1015</v>
      </c>
    </row>
    <row r="1071" spans="1:11" x14ac:dyDescent="0.35">
      <c r="A1071" s="15">
        <v>45938</v>
      </c>
      <c r="B1071" s="11" t="s">
        <v>1250</v>
      </c>
      <c r="C1071" s="19">
        <v>45933</v>
      </c>
      <c r="D1071" s="13" t="s">
        <v>1257</v>
      </c>
      <c r="E1071" s="12">
        <v>1700</v>
      </c>
      <c r="F1071" s="21" t="s">
        <v>21</v>
      </c>
      <c r="G1071" s="21" t="s">
        <v>72</v>
      </c>
      <c r="H1071" s="21" t="s">
        <v>73</v>
      </c>
      <c r="I1071" s="21" t="s">
        <v>90</v>
      </c>
      <c r="J1071" s="68">
        <f>+MONTH(ExpenseTable[[#This Row],[Voucher Date]])</f>
        <v>10</v>
      </c>
      <c r="K1071" s="13" t="s">
        <v>108</v>
      </c>
    </row>
    <row r="1072" spans="1:11" x14ac:dyDescent="0.35">
      <c r="A1072" s="15">
        <v>45933</v>
      </c>
      <c r="B1072" s="11" t="s">
        <v>1250</v>
      </c>
      <c r="C1072" s="19">
        <v>45933</v>
      </c>
      <c r="D1072" s="13" t="s">
        <v>1251</v>
      </c>
      <c r="E1072" s="12">
        <v>4000</v>
      </c>
      <c r="F1072" s="21" t="s">
        <v>40</v>
      </c>
      <c r="G1072" s="21" t="s">
        <v>72</v>
      </c>
      <c r="H1072" s="21" t="s">
        <v>73</v>
      </c>
      <c r="I1072" s="21" t="s">
        <v>90</v>
      </c>
      <c r="J1072" s="68">
        <f>+MONTH(ExpenseTable[[#This Row],[Voucher Date]])</f>
        <v>10</v>
      </c>
      <c r="K1072" s="13" t="s">
        <v>108</v>
      </c>
    </row>
    <row r="1073" spans="1:11" x14ac:dyDescent="0.35">
      <c r="A1073" s="15">
        <v>45936</v>
      </c>
      <c r="B1073" s="11" t="s">
        <v>1250</v>
      </c>
      <c r="C1073" s="19">
        <v>45933</v>
      </c>
      <c r="D1073" s="13" t="s">
        <v>1255</v>
      </c>
      <c r="E1073" s="12">
        <v>6100</v>
      </c>
      <c r="F1073" s="21" t="s">
        <v>21</v>
      </c>
      <c r="G1073" s="21" t="s">
        <v>72</v>
      </c>
      <c r="H1073" s="21" t="s">
        <v>73</v>
      </c>
      <c r="I1073" s="21" t="s">
        <v>90</v>
      </c>
      <c r="J1073" s="68">
        <f>+MONTH(ExpenseTable[[#This Row],[Voucher Date]])</f>
        <v>10</v>
      </c>
      <c r="K1073" s="13" t="s">
        <v>108</v>
      </c>
    </row>
    <row r="1074" spans="1:11" x14ac:dyDescent="0.35">
      <c r="A1074" s="15">
        <v>45938</v>
      </c>
      <c r="B1074" s="11" t="s">
        <v>1250</v>
      </c>
      <c r="C1074" s="19">
        <v>45933</v>
      </c>
      <c r="D1074" s="13" t="s">
        <v>1256</v>
      </c>
      <c r="E1074" s="12">
        <v>10000</v>
      </c>
      <c r="F1074" s="21" t="s">
        <v>21</v>
      </c>
      <c r="G1074" s="21" t="s">
        <v>72</v>
      </c>
      <c r="H1074" s="21" t="s">
        <v>73</v>
      </c>
      <c r="I1074" s="21" t="s">
        <v>90</v>
      </c>
      <c r="J1074" s="68">
        <f>+MONTH(ExpenseTable[[#This Row],[Voucher Date]])</f>
        <v>10</v>
      </c>
      <c r="K1074" s="13" t="s">
        <v>108</v>
      </c>
    </row>
    <row r="1075" spans="1:11" x14ac:dyDescent="0.35">
      <c r="A1075" s="15">
        <v>45933</v>
      </c>
      <c r="B1075" s="11" t="s">
        <v>1250</v>
      </c>
      <c r="C1075" s="19">
        <v>45933</v>
      </c>
      <c r="D1075" s="13" t="s">
        <v>1252</v>
      </c>
      <c r="E1075" s="12">
        <v>15000</v>
      </c>
      <c r="F1075" s="21" t="s">
        <v>29</v>
      </c>
      <c r="G1075" s="21" t="s">
        <v>72</v>
      </c>
      <c r="H1075" s="21" t="s">
        <v>73</v>
      </c>
      <c r="I1075" s="21" t="s">
        <v>90</v>
      </c>
      <c r="J1075" s="68">
        <f>+MONTH(ExpenseTable[[#This Row],[Voucher Date]])</f>
        <v>10</v>
      </c>
      <c r="K1075" s="13" t="s">
        <v>108</v>
      </c>
    </row>
    <row r="1076" spans="1:11" x14ac:dyDescent="0.35">
      <c r="A1076" s="15">
        <v>45937</v>
      </c>
      <c r="B1076" s="11" t="s">
        <v>1250</v>
      </c>
      <c r="C1076" s="19">
        <v>45933</v>
      </c>
      <c r="D1076" s="13" t="s">
        <v>288</v>
      </c>
      <c r="E1076" s="12">
        <v>40000</v>
      </c>
      <c r="F1076" s="21" t="s">
        <v>40</v>
      </c>
      <c r="G1076" s="21" t="s">
        <v>72</v>
      </c>
      <c r="H1076" s="21" t="s">
        <v>73</v>
      </c>
      <c r="I1076" s="21" t="s">
        <v>90</v>
      </c>
      <c r="J1076" s="68">
        <f>+MONTH(ExpenseTable[[#This Row],[Voucher Date]])</f>
        <v>10</v>
      </c>
      <c r="K1076" s="13" t="s">
        <v>108</v>
      </c>
    </row>
    <row r="1077" spans="1:11" x14ac:dyDescent="0.35">
      <c r="A1077" s="15">
        <v>45936</v>
      </c>
      <c r="B1077" s="11" t="s">
        <v>1250</v>
      </c>
      <c r="C1077" s="19">
        <v>45933</v>
      </c>
      <c r="D1077" s="13" t="s">
        <v>1254</v>
      </c>
      <c r="E1077" s="12">
        <v>48000</v>
      </c>
      <c r="F1077" s="21" t="s">
        <v>40</v>
      </c>
      <c r="G1077" s="21" t="s">
        <v>72</v>
      </c>
      <c r="H1077" s="21" t="s">
        <v>73</v>
      </c>
      <c r="I1077" s="21" t="s">
        <v>90</v>
      </c>
      <c r="J1077" s="68">
        <f>+MONTH(ExpenseTable[[#This Row],[Voucher Date]])</f>
        <v>10</v>
      </c>
      <c r="K1077" s="13" t="s">
        <v>108</v>
      </c>
    </row>
    <row r="1078" spans="1:11" x14ac:dyDescent="0.35">
      <c r="A1078" s="15">
        <v>45933</v>
      </c>
      <c r="B1078" s="11" t="s">
        <v>1250</v>
      </c>
      <c r="C1078" s="19">
        <v>45933</v>
      </c>
      <c r="D1078" s="13" t="s">
        <v>1253</v>
      </c>
      <c r="E1078" s="12">
        <v>100000</v>
      </c>
      <c r="F1078" s="21" t="s">
        <v>29</v>
      </c>
      <c r="G1078" s="21" t="s">
        <v>72</v>
      </c>
      <c r="H1078" s="21" t="s">
        <v>73</v>
      </c>
      <c r="I1078" s="21" t="s">
        <v>90</v>
      </c>
      <c r="J1078" s="68">
        <f>+MONTH(ExpenseTable[[#This Row],[Voucher Date]])</f>
        <v>10</v>
      </c>
      <c r="K1078" s="13" t="s">
        <v>108</v>
      </c>
    </row>
    <row r="1079" spans="1:11" x14ac:dyDescent="0.35">
      <c r="A1079" s="15">
        <v>45939</v>
      </c>
      <c r="B1079" s="11" t="s">
        <v>1113</v>
      </c>
      <c r="C1079" s="19">
        <v>45936</v>
      </c>
      <c r="D1079" s="13" t="s">
        <v>1118</v>
      </c>
      <c r="E1079" s="12">
        <v>4000</v>
      </c>
      <c r="F1079" s="21" t="s">
        <v>5</v>
      </c>
      <c r="G1079" s="21" t="s">
        <v>72</v>
      </c>
      <c r="H1079" s="21" t="s">
        <v>73</v>
      </c>
      <c r="I1079" s="21" t="s">
        <v>90</v>
      </c>
      <c r="J1079" s="68">
        <f>+MONTH(ExpenseTable[[#This Row],[Voucher Date]])</f>
        <v>10</v>
      </c>
      <c r="K1079" s="13" t="s">
        <v>108</v>
      </c>
    </row>
    <row r="1080" spans="1:11" x14ac:dyDescent="0.35">
      <c r="A1080" s="15">
        <v>45939</v>
      </c>
      <c r="B1080" s="11" t="s">
        <v>1113</v>
      </c>
      <c r="C1080" s="19">
        <v>45936</v>
      </c>
      <c r="D1080" s="13" t="s">
        <v>1117</v>
      </c>
      <c r="E1080" s="12">
        <v>30000</v>
      </c>
      <c r="F1080" s="21" t="s">
        <v>5</v>
      </c>
      <c r="G1080" s="21" t="s">
        <v>72</v>
      </c>
      <c r="H1080" s="21" t="s">
        <v>73</v>
      </c>
      <c r="I1080" s="21" t="s">
        <v>90</v>
      </c>
      <c r="J1080" s="68">
        <f>+MONTH(ExpenseTable[[#This Row],[Voucher Date]])</f>
        <v>10</v>
      </c>
      <c r="K1080" s="13" t="s">
        <v>108</v>
      </c>
    </row>
    <row r="1081" spans="1:11" x14ac:dyDescent="0.35">
      <c r="A1081" s="15">
        <v>45939</v>
      </c>
      <c r="B1081" s="11" t="s">
        <v>1113</v>
      </c>
      <c r="C1081" s="19">
        <v>45936</v>
      </c>
      <c r="D1081" s="13" t="s">
        <v>1117</v>
      </c>
      <c r="E1081" s="12">
        <v>30000</v>
      </c>
      <c r="F1081" s="21" t="s">
        <v>5</v>
      </c>
      <c r="G1081" s="21" t="s">
        <v>72</v>
      </c>
      <c r="H1081" s="21" t="s">
        <v>73</v>
      </c>
      <c r="I1081" s="21" t="s">
        <v>90</v>
      </c>
      <c r="J1081" s="68">
        <f>+MONTH(ExpenseTable[[#This Row],[Voucher Date]])</f>
        <v>10</v>
      </c>
      <c r="K1081" s="13" t="s">
        <v>108</v>
      </c>
    </row>
    <row r="1082" spans="1:11" x14ac:dyDescent="0.35">
      <c r="A1082" s="15">
        <v>45936</v>
      </c>
      <c r="B1082" s="11" t="s">
        <v>1113</v>
      </c>
      <c r="C1082" s="19">
        <v>45936</v>
      </c>
      <c r="D1082" s="13" t="s">
        <v>1114</v>
      </c>
      <c r="E1082" s="12">
        <v>34000</v>
      </c>
      <c r="F1082" s="21" t="s">
        <v>27</v>
      </c>
      <c r="G1082" s="21" t="s">
        <v>72</v>
      </c>
      <c r="H1082" s="21" t="s">
        <v>73</v>
      </c>
      <c r="I1082" s="21" t="s">
        <v>90</v>
      </c>
      <c r="J1082" s="68">
        <f>+MONTH(ExpenseTable[[#This Row],[Voucher Date]])</f>
        <v>10</v>
      </c>
      <c r="K1082" s="13" t="s">
        <v>108</v>
      </c>
    </row>
    <row r="1083" spans="1:11" x14ac:dyDescent="0.35">
      <c r="A1083" s="15">
        <v>45939</v>
      </c>
      <c r="B1083" s="11" t="s">
        <v>1113</v>
      </c>
      <c r="C1083" s="19">
        <v>45936</v>
      </c>
      <c r="D1083" s="13" t="s">
        <v>1116</v>
      </c>
      <c r="E1083" s="12">
        <v>57000</v>
      </c>
      <c r="F1083" s="21" t="s">
        <v>30</v>
      </c>
      <c r="G1083" s="21" t="s">
        <v>72</v>
      </c>
      <c r="H1083" s="21" t="s">
        <v>73</v>
      </c>
      <c r="I1083" s="21" t="s">
        <v>90</v>
      </c>
      <c r="J1083" s="68">
        <f>+MONTH(ExpenseTable[[#This Row],[Voucher Date]])</f>
        <v>10</v>
      </c>
      <c r="K1083" s="13" t="s">
        <v>108</v>
      </c>
    </row>
    <row r="1084" spans="1:11" x14ac:dyDescent="0.35">
      <c r="A1084" s="15">
        <v>45939</v>
      </c>
      <c r="B1084" s="11" t="s">
        <v>1113</v>
      </c>
      <c r="C1084" s="19">
        <v>45936</v>
      </c>
      <c r="D1084" s="13" t="s">
        <v>1116</v>
      </c>
      <c r="E1084" s="12">
        <v>57000</v>
      </c>
      <c r="F1084" s="21" t="s">
        <v>30</v>
      </c>
      <c r="G1084" s="21" t="s">
        <v>72</v>
      </c>
      <c r="H1084" s="21" t="s">
        <v>73</v>
      </c>
      <c r="I1084" s="21" t="s">
        <v>90</v>
      </c>
      <c r="J1084" s="68">
        <f>+MONTH(ExpenseTable[[#This Row],[Voucher Date]])</f>
        <v>10</v>
      </c>
      <c r="K1084" s="13" t="s">
        <v>108</v>
      </c>
    </row>
    <row r="1085" spans="1:11" x14ac:dyDescent="0.35">
      <c r="A1085" s="15">
        <v>45938</v>
      </c>
      <c r="B1085" s="11" t="s">
        <v>1113</v>
      </c>
      <c r="C1085" s="19">
        <v>45936</v>
      </c>
      <c r="D1085" s="13" t="s">
        <v>1115</v>
      </c>
      <c r="E1085" s="12">
        <v>64400</v>
      </c>
      <c r="F1085" s="21" t="s">
        <v>22</v>
      </c>
      <c r="G1085" s="21" t="s">
        <v>72</v>
      </c>
      <c r="H1085" s="21" t="s">
        <v>73</v>
      </c>
      <c r="I1085" s="21" t="s">
        <v>90</v>
      </c>
      <c r="J1085" s="68">
        <f>+MONTH(ExpenseTable[[#This Row],[Voucher Date]])</f>
        <v>10</v>
      </c>
      <c r="K1085" s="13" t="s">
        <v>108</v>
      </c>
    </row>
    <row r="1086" spans="1:11" x14ac:dyDescent="0.35">
      <c r="A1086" s="15">
        <v>45938</v>
      </c>
      <c r="B1086" s="11" t="s">
        <v>1055</v>
      </c>
      <c r="C1086" s="19">
        <v>45937</v>
      </c>
      <c r="D1086" s="13" t="s">
        <v>1057</v>
      </c>
      <c r="E1086" s="12">
        <v>400</v>
      </c>
      <c r="F1086" s="21" t="s">
        <v>21</v>
      </c>
      <c r="G1086" s="21" t="s">
        <v>72</v>
      </c>
      <c r="H1086" s="21" t="s">
        <v>73</v>
      </c>
      <c r="I1086" s="21" t="s">
        <v>90</v>
      </c>
      <c r="J1086" s="68">
        <f>+MONTH(ExpenseTable[[#This Row],[Voucher Date]])</f>
        <v>10</v>
      </c>
      <c r="K1086" s="13" t="s">
        <v>1015</v>
      </c>
    </row>
    <row r="1087" spans="1:11" x14ac:dyDescent="0.35">
      <c r="A1087" s="15">
        <v>45938</v>
      </c>
      <c r="B1087" s="11" t="s">
        <v>1055</v>
      </c>
      <c r="C1087" s="19">
        <v>45937</v>
      </c>
      <c r="D1087" s="13" t="s">
        <v>1059</v>
      </c>
      <c r="E1087" s="12">
        <v>500</v>
      </c>
      <c r="F1087" s="21" t="s">
        <v>27</v>
      </c>
      <c r="G1087" s="21" t="s">
        <v>72</v>
      </c>
      <c r="H1087" s="21" t="s">
        <v>73</v>
      </c>
      <c r="I1087" s="21" t="s">
        <v>90</v>
      </c>
      <c r="J1087" s="68">
        <f>+MONTH(ExpenseTable[[#This Row],[Voucher Date]])</f>
        <v>10</v>
      </c>
      <c r="K1087" s="13" t="s">
        <v>1015</v>
      </c>
    </row>
    <row r="1088" spans="1:11" x14ac:dyDescent="0.35">
      <c r="A1088" s="15">
        <v>45938</v>
      </c>
      <c r="B1088" s="11" t="s">
        <v>1055</v>
      </c>
      <c r="C1088" s="19">
        <v>45937</v>
      </c>
      <c r="D1088" s="13" t="s">
        <v>1062</v>
      </c>
      <c r="E1088" s="12">
        <v>500</v>
      </c>
      <c r="F1088" s="21" t="s">
        <v>22</v>
      </c>
      <c r="G1088" s="21" t="s">
        <v>72</v>
      </c>
      <c r="H1088" s="21" t="s">
        <v>73</v>
      </c>
      <c r="I1088" s="21" t="s">
        <v>90</v>
      </c>
      <c r="J1088" s="68">
        <f>+MONTH(ExpenseTable[[#This Row],[Voucher Date]])</f>
        <v>10</v>
      </c>
      <c r="K1088" s="13" t="s">
        <v>1015</v>
      </c>
    </row>
    <row r="1089" spans="1:11" x14ac:dyDescent="0.35">
      <c r="A1089" s="15">
        <v>45938</v>
      </c>
      <c r="B1089" s="11" t="s">
        <v>1055</v>
      </c>
      <c r="C1089" s="19">
        <v>45937</v>
      </c>
      <c r="D1089" s="13" t="s">
        <v>1056</v>
      </c>
      <c r="E1089" s="12">
        <v>1200</v>
      </c>
      <c r="F1089" s="21" t="s">
        <v>21</v>
      </c>
      <c r="G1089" s="21" t="s">
        <v>80</v>
      </c>
      <c r="H1089" s="21" t="s">
        <v>89</v>
      </c>
      <c r="I1089" s="21" t="s">
        <v>90</v>
      </c>
      <c r="J1089" s="68">
        <f>+MONTH(ExpenseTable[[#This Row],[Voucher Date]])</f>
        <v>10</v>
      </c>
      <c r="K1089" s="13" t="s">
        <v>1015</v>
      </c>
    </row>
    <row r="1090" spans="1:11" x14ac:dyDescent="0.35">
      <c r="A1090" s="15">
        <v>45938</v>
      </c>
      <c r="B1090" s="11" t="s">
        <v>1055</v>
      </c>
      <c r="C1090" s="19">
        <v>45937</v>
      </c>
      <c r="D1090" s="13" t="s">
        <v>1060</v>
      </c>
      <c r="E1090" s="12">
        <v>1200</v>
      </c>
      <c r="F1090" s="21" t="s">
        <v>21</v>
      </c>
      <c r="G1090" s="21" t="s">
        <v>67</v>
      </c>
      <c r="H1090" s="21" t="s">
        <v>79</v>
      </c>
      <c r="I1090" s="21" t="s">
        <v>90</v>
      </c>
      <c r="J1090" s="68">
        <f>+MONTH(ExpenseTable[[#This Row],[Voucher Date]])</f>
        <v>10</v>
      </c>
      <c r="K1090" s="13" t="s">
        <v>1015</v>
      </c>
    </row>
    <row r="1091" spans="1:11" x14ac:dyDescent="0.35">
      <c r="A1091" s="15">
        <v>45938</v>
      </c>
      <c r="B1091" s="11" t="s">
        <v>1055</v>
      </c>
      <c r="C1091" s="19">
        <v>45937</v>
      </c>
      <c r="D1091" s="13" t="s">
        <v>1058</v>
      </c>
      <c r="E1091" s="12">
        <v>2000</v>
      </c>
      <c r="F1091" s="21" t="s">
        <v>19</v>
      </c>
      <c r="G1091" s="21" t="s">
        <v>72</v>
      </c>
      <c r="H1091" s="21" t="s">
        <v>73</v>
      </c>
      <c r="I1091" s="21" t="s">
        <v>90</v>
      </c>
      <c r="J1091" s="68">
        <f>+MONTH(ExpenseTable[[#This Row],[Voucher Date]])</f>
        <v>10</v>
      </c>
      <c r="K1091" s="13" t="s">
        <v>1015</v>
      </c>
    </row>
    <row r="1092" spans="1:11" x14ac:dyDescent="0.35">
      <c r="A1092" s="15">
        <v>45938</v>
      </c>
      <c r="B1092" s="11" t="s">
        <v>1055</v>
      </c>
      <c r="C1092" s="19">
        <v>45937</v>
      </c>
      <c r="D1092" s="13" t="s">
        <v>1061</v>
      </c>
      <c r="E1092" s="12">
        <v>4700</v>
      </c>
      <c r="F1092" s="21" t="s">
        <v>27</v>
      </c>
      <c r="G1092" s="21" t="s">
        <v>72</v>
      </c>
      <c r="H1092" s="21" t="s">
        <v>73</v>
      </c>
      <c r="I1092" s="21" t="s">
        <v>90</v>
      </c>
      <c r="J1092" s="68">
        <f>+MONTH(ExpenseTable[[#This Row],[Voucher Date]])</f>
        <v>10</v>
      </c>
      <c r="K1092" s="13" t="s">
        <v>1015</v>
      </c>
    </row>
    <row r="1093" spans="1:11" x14ac:dyDescent="0.35">
      <c r="A1093" s="15">
        <v>45937</v>
      </c>
      <c r="B1093" s="11" t="s">
        <v>1055</v>
      </c>
      <c r="C1093" s="19">
        <v>45937</v>
      </c>
      <c r="D1093" s="13" t="s">
        <v>288</v>
      </c>
      <c r="E1093" s="12">
        <v>40000</v>
      </c>
      <c r="F1093" s="21" t="s">
        <v>40</v>
      </c>
      <c r="G1093" s="21" t="s">
        <v>67</v>
      </c>
      <c r="H1093" s="21" t="s">
        <v>79</v>
      </c>
      <c r="I1093" s="21" t="s">
        <v>90</v>
      </c>
      <c r="J1093" s="68">
        <f>+MONTH(ExpenseTable[[#This Row],[Voucher Date]])</f>
        <v>10</v>
      </c>
      <c r="K1093" s="13" t="s">
        <v>1015</v>
      </c>
    </row>
    <row r="1094" spans="1:11" x14ac:dyDescent="0.35">
      <c r="A1094" s="15">
        <v>45947</v>
      </c>
      <c r="B1094" s="11" t="s">
        <v>1085</v>
      </c>
      <c r="C1094" s="19">
        <v>45940</v>
      </c>
      <c r="D1094" s="13" t="s">
        <v>1084</v>
      </c>
      <c r="E1094" s="12">
        <v>5000</v>
      </c>
      <c r="F1094" s="21" t="s">
        <v>21</v>
      </c>
      <c r="G1094" s="21" t="s">
        <v>67</v>
      </c>
      <c r="H1094" s="21" t="s">
        <v>79</v>
      </c>
      <c r="I1094" s="21" t="s">
        <v>91</v>
      </c>
      <c r="J1094" s="68">
        <f>+MONTH(ExpenseTable[[#This Row],[Voucher Date]])</f>
        <v>10</v>
      </c>
      <c r="K1094" s="13" t="s">
        <v>1039</v>
      </c>
    </row>
    <row r="1095" spans="1:11" x14ac:dyDescent="0.35">
      <c r="A1095" s="15">
        <v>45947</v>
      </c>
      <c r="B1095" s="11" t="s">
        <v>1085</v>
      </c>
      <c r="C1095" s="19">
        <v>45940</v>
      </c>
      <c r="D1095" s="13" t="s">
        <v>1083</v>
      </c>
      <c r="E1095" s="12">
        <v>13000</v>
      </c>
      <c r="F1095" s="21" t="s">
        <v>23</v>
      </c>
      <c r="G1095" s="21" t="s">
        <v>72</v>
      </c>
      <c r="H1095" s="21" t="s">
        <v>73</v>
      </c>
      <c r="I1095" s="21" t="s">
        <v>91</v>
      </c>
      <c r="J1095" s="68">
        <f>+MONTH(ExpenseTable[[#This Row],[Voucher Date]])</f>
        <v>10</v>
      </c>
      <c r="K1095" s="13" t="s">
        <v>1039</v>
      </c>
    </row>
    <row r="1096" spans="1:11" x14ac:dyDescent="0.35">
      <c r="A1096" s="15">
        <v>45947</v>
      </c>
      <c r="B1096" s="11" t="s">
        <v>1085</v>
      </c>
      <c r="C1096" s="19">
        <v>45940</v>
      </c>
      <c r="D1096" s="13" t="s">
        <v>288</v>
      </c>
      <c r="E1096" s="12">
        <v>50000</v>
      </c>
      <c r="F1096" s="21" t="s">
        <v>40</v>
      </c>
      <c r="G1096" s="21" t="s">
        <v>67</v>
      </c>
      <c r="H1096" s="21" t="s">
        <v>79</v>
      </c>
      <c r="I1096" s="21" t="s">
        <v>91</v>
      </c>
      <c r="J1096" s="68">
        <f>+MONTH(ExpenseTable[[#This Row],[Voucher Date]])</f>
        <v>10</v>
      </c>
      <c r="K1096" s="13" t="s">
        <v>1039</v>
      </c>
    </row>
    <row r="1097" spans="1:11" x14ac:dyDescent="0.35">
      <c r="A1097" s="15">
        <v>45940</v>
      </c>
      <c r="B1097" s="11" t="s">
        <v>1085</v>
      </c>
      <c r="C1097" s="19">
        <v>45940</v>
      </c>
      <c r="D1097" s="13" t="s">
        <v>1082</v>
      </c>
      <c r="E1097" s="12">
        <v>158499.34</v>
      </c>
      <c r="F1097" s="21" t="s">
        <v>56</v>
      </c>
      <c r="G1097" s="21" t="s">
        <v>72</v>
      </c>
      <c r="H1097" s="21" t="s">
        <v>73</v>
      </c>
      <c r="I1097" s="21" t="s">
        <v>91</v>
      </c>
      <c r="J1097" s="68">
        <f>+MONTH(ExpenseTable[[#This Row],[Voucher Date]])</f>
        <v>10</v>
      </c>
      <c r="K1097" s="13" t="s">
        <v>1039</v>
      </c>
    </row>
    <row r="1098" spans="1:11" x14ac:dyDescent="0.35">
      <c r="A1098" s="15">
        <v>45936</v>
      </c>
      <c r="B1098" s="11" t="s">
        <v>1085</v>
      </c>
      <c r="C1098" s="19">
        <v>45940</v>
      </c>
      <c r="D1098" s="13" t="s">
        <v>1166</v>
      </c>
      <c r="E1098" s="12">
        <v>350000</v>
      </c>
      <c r="F1098" s="21" t="s">
        <v>22</v>
      </c>
      <c r="G1098" s="21" t="s">
        <v>72</v>
      </c>
      <c r="H1098" s="21" t="s">
        <v>73</v>
      </c>
      <c r="I1098" s="21" t="s">
        <v>91</v>
      </c>
      <c r="J1098" s="68">
        <f>+MONTH(ExpenseTable[[#This Row],[Voucher Date]])</f>
        <v>10</v>
      </c>
      <c r="K1098" s="13" t="s">
        <v>1039</v>
      </c>
    </row>
    <row r="1099" spans="1:11" x14ac:dyDescent="0.35">
      <c r="A1099" s="15">
        <v>45940</v>
      </c>
      <c r="B1099" s="11" t="s">
        <v>1085</v>
      </c>
      <c r="C1099" s="19">
        <v>45940</v>
      </c>
      <c r="D1099" s="13" t="s">
        <v>1081</v>
      </c>
      <c r="E1099" s="12">
        <v>725818.61</v>
      </c>
      <c r="F1099" s="21" t="s">
        <v>83</v>
      </c>
      <c r="G1099" s="21" t="s">
        <v>72</v>
      </c>
      <c r="H1099" s="21" t="s">
        <v>73</v>
      </c>
      <c r="I1099" s="21" t="s">
        <v>91</v>
      </c>
      <c r="J1099" s="68">
        <f>+MONTH(ExpenseTable[[#This Row],[Voucher Date]])</f>
        <v>10</v>
      </c>
      <c r="K1099" s="13" t="s">
        <v>1039</v>
      </c>
    </row>
    <row r="1100" spans="1:11" x14ac:dyDescent="0.35">
      <c r="A1100" s="15">
        <v>45937</v>
      </c>
      <c r="B1100" s="11" t="s">
        <v>1085</v>
      </c>
      <c r="C1100" s="19">
        <v>45940</v>
      </c>
      <c r="D1100" s="13" t="s">
        <v>1165</v>
      </c>
      <c r="E1100" s="12">
        <v>1200000</v>
      </c>
      <c r="F1100" s="21" t="s">
        <v>5</v>
      </c>
      <c r="G1100" s="21" t="s">
        <v>72</v>
      </c>
      <c r="H1100" s="21" t="s">
        <v>73</v>
      </c>
      <c r="I1100" s="21" t="s">
        <v>91</v>
      </c>
      <c r="J1100" s="68">
        <f>+MONTH(ExpenseTable[[#This Row],[Voucher Date]])</f>
        <v>10</v>
      </c>
      <c r="K1100" s="13" t="s">
        <v>1039</v>
      </c>
    </row>
    <row r="1101" spans="1:11" x14ac:dyDescent="0.35">
      <c r="A1101" s="15">
        <v>45936</v>
      </c>
      <c r="B1101" s="11" t="s">
        <v>1085</v>
      </c>
      <c r="C1101" s="19">
        <v>45940</v>
      </c>
      <c r="D1101" s="13" t="s">
        <v>1164</v>
      </c>
      <c r="E1101" s="12">
        <v>10375750</v>
      </c>
      <c r="F1101" s="21" t="s">
        <v>5</v>
      </c>
      <c r="G1101" s="21" t="s">
        <v>72</v>
      </c>
      <c r="H1101" s="21" t="s">
        <v>73</v>
      </c>
      <c r="I1101" s="21" t="s">
        <v>91</v>
      </c>
      <c r="J1101" s="68">
        <f>+MONTH(ExpenseTable[[#This Row],[Voucher Date]])</f>
        <v>10</v>
      </c>
      <c r="K1101" s="13" t="s">
        <v>1039</v>
      </c>
    </row>
    <row r="1102" spans="1:11" x14ac:dyDescent="0.35">
      <c r="A1102" s="15">
        <v>45943</v>
      </c>
      <c r="B1102" s="11" t="s">
        <v>1073</v>
      </c>
      <c r="C1102" s="19">
        <v>45943</v>
      </c>
      <c r="D1102" s="13" t="s">
        <v>1074</v>
      </c>
      <c r="E1102" s="12">
        <v>2000</v>
      </c>
      <c r="F1102" s="21" t="s">
        <v>5</v>
      </c>
      <c r="G1102" s="21" t="s">
        <v>72</v>
      </c>
      <c r="H1102" s="21" t="s">
        <v>73</v>
      </c>
      <c r="I1102" s="21" t="s">
        <v>90</v>
      </c>
      <c r="J1102" s="68">
        <f>+MONTH(ExpenseTable[[#This Row],[Voucher Date]])</f>
        <v>10</v>
      </c>
      <c r="K1102" s="13" t="s">
        <v>1015</v>
      </c>
    </row>
    <row r="1103" spans="1:11" x14ac:dyDescent="0.35">
      <c r="A1103" s="15">
        <v>45945</v>
      </c>
      <c r="B1103" s="11" t="s">
        <v>1073</v>
      </c>
      <c r="C1103" s="19">
        <v>45943</v>
      </c>
      <c r="D1103" s="13" t="s">
        <v>1080</v>
      </c>
      <c r="E1103" s="12">
        <v>2500</v>
      </c>
      <c r="F1103" s="21" t="s">
        <v>21</v>
      </c>
      <c r="G1103" s="21" t="s">
        <v>67</v>
      </c>
      <c r="H1103" s="21" t="s">
        <v>79</v>
      </c>
      <c r="I1103" s="21" t="s">
        <v>90</v>
      </c>
      <c r="J1103" s="68">
        <f>+MONTH(ExpenseTable[[#This Row],[Voucher Date]])</f>
        <v>10</v>
      </c>
      <c r="K1103" s="13" t="s">
        <v>1015</v>
      </c>
    </row>
    <row r="1104" spans="1:11" x14ac:dyDescent="0.35">
      <c r="A1104" s="15">
        <v>45945</v>
      </c>
      <c r="B1104" s="11" t="s">
        <v>1073</v>
      </c>
      <c r="C1104" s="19">
        <v>45943</v>
      </c>
      <c r="D1104" s="13" t="s">
        <v>1258</v>
      </c>
      <c r="E1104" s="12">
        <v>4500</v>
      </c>
      <c r="F1104" s="21" t="s">
        <v>22</v>
      </c>
      <c r="G1104" s="21" t="s">
        <v>72</v>
      </c>
      <c r="H1104" s="21" t="s">
        <v>73</v>
      </c>
      <c r="I1104" s="21" t="s">
        <v>90</v>
      </c>
      <c r="J1104" s="68">
        <f>+MONTH(ExpenseTable[[#This Row],[Voucher Date]])</f>
        <v>10</v>
      </c>
      <c r="K1104" s="13" t="s">
        <v>1015</v>
      </c>
    </row>
    <row r="1105" spans="1:11" x14ac:dyDescent="0.35">
      <c r="A1105" s="15">
        <v>45943</v>
      </c>
      <c r="B1105" s="11" t="s">
        <v>1073</v>
      </c>
      <c r="C1105" s="19">
        <v>45943</v>
      </c>
      <c r="D1105" s="13" t="s">
        <v>1075</v>
      </c>
      <c r="E1105" s="12">
        <v>6000</v>
      </c>
      <c r="F1105" s="21" t="s">
        <v>5</v>
      </c>
      <c r="G1105" s="21" t="s">
        <v>72</v>
      </c>
      <c r="H1105" s="21" t="s">
        <v>73</v>
      </c>
      <c r="I1105" s="21" t="s">
        <v>90</v>
      </c>
      <c r="J1105" s="68">
        <f>+MONTH(ExpenseTable[[#This Row],[Voucher Date]])</f>
        <v>10</v>
      </c>
      <c r="K1105" s="13" t="s">
        <v>1015</v>
      </c>
    </row>
    <row r="1106" spans="1:11" x14ac:dyDescent="0.35">
      <c r="A1106" s="15">
        <v>45936</v>
      </c>
      <c r="B1106" s="11" t="s">
        <v>1073</v>
      </c>
      <c r="C1106" s="19">
        <v>45943</v>
      </c>
      <c r="D1106" s="13" t="s">
        <v>1076</v>
      </c>
      <c r="E1106" s="12">
        <v>45000</v>
      </c>
      <c r="F1106" s="21" t="s">
        <v>40</v>
      </c>
      <c r="G1106" s="21" t="s">
        <v>67</v>
      </c>
      <c r="H1106" s="21" t="s">
        <v>79</v>
      </c>
      <c r="I1106" s="21" t="s">
        <v>90</v>
      </c>
      <c r="J1106" s="68">
        <f>+MONTH(ExpenseTable[[#This Row],[Voucher Date]])</f>
        <v>10</v>
      </c>
      <c r="K1106" s="13" t="s">
        <v>1015</v>
      </c>
    </row>
    <row r="1107" spans="1:11" x14ac:dyDescent="0.35">
      <c r="A1107" s="15">
        <v>45944</v>
      </c>
      <c r="B1107" s="11" t="s">
        <v>1073</v>
      </c>
      <c r="C1107" s="19">
        <v>45943</v>
      </c>
      <c r="D1107" s="13" t="s">
        <v>1077</v>
      </c>
      <c r="E1107" s="12">
        <v>50000</v>
      </c>
      <c r="F1107" s="21" t="s">
        <v>22</v>
      </c>
      <c r="G1107" s="21" t="s">
        <v>72</v>
      </c>
      <c r="H1107" s="21" t="s">
        <v>73</v>
      </c>
      <c r="I1107" s="21" t="s">
        <v>90</v>
      </c>
      <c r="J1107" s="68">
        <f>+MONTH(ExpenseTable[[#This Row],[Voucher Date]])</f>
        <v>10</v>
      </c>
      <c r="K1107" s="13" t="s">
        <v>1015</v>
      </c>
    </row>
    <row r="1108" spans="1:11" x14ac:dyDescent="0.35">
      <c r="A1108" s="15">
        <v>45944</v>
      </c>
      <c r="B1108" s="11" t="s">
        <v>1073</v>
      </c>
      <c r="C1108" s="19">
        <v>45943</v>
      </c>
      <c r="D1108" s="13" t="s">
        <v>1078</v>
      </c>
      <c r="E1108" s="12">
        <v>75000</v>
      </c>
      <c r="F1108" s="21" t="s">
        <v>4</v>
      </c>
      <c r="G1108" s="21" t="s">
        <v>72</v>
      </c>
      <c r="H1108" s="21" t="s">
        <v>73</v>
      </c>
      <c r="I1108" s="21" t="s">
        <v>90</v>
      </c>
      <c r="J1108" s="68">
        <f>+MONTH(ExpenseTable[[#This Row],[Voucher Date]])</f>
        <v>10</v>
      </c>
      <c r="K1108" s="13" t="s">
        <v>1015</v>
      </c>
    </row>
    <row r="1109" spans="1:11" x14ac:dyDescent="0.35">
      <c r="A1109" s="15">
        <v>45944</v>
      </c>
      <c r="B1109" s="11" t="s">
        <v>1073</v>
      </c>
      <c r="C1109" s="19">
        <v>45943</v>
      </c>
      <c r="D1109" s="13" t="s">
        <v>1079</v>
      </c>
      <c r="E1109" s="12">
        <v>225000</v>
      </c>
      <c r="F1109" s="21" t="s">
        <v>4</v>
      </c>
      <c r="G1109" s="21" t="s">
        <v>72</v>
      </c>
      <c r="H1109" s="21" t="s">
        <v>73</v>
      </c>
      <c r="I1109" s="21" t="s">
        <v>90</v>
      </c>
      <c r="J1109" s="68">
        <f>+MONTH(ExpenseTable[[#This Row],[Voucher Date]])</f>
        <v>10</v>
      </c>
      <c r="K1109" s="13" t="s">
        <v>1015</v>
      </c>
    </row>
    <row r="1110" spans="1:11" x14ac:dyDescent="0.35">
      <c r="A1110" s="15">
        <v>45943</v>
      </c>
      <c r="B1110" s="11" t="s">
        <v>1259</v>
      </c>
      <c r="C1110" s="19">
        <v>45943</v>
      </c>
      <c r="D1110" s="13" t="s">
        <v>1260</v>
      </c>
      <c r="E1110" s="12">
        <v>5000</v>
      </c>
      <c r="F1110" s="21" t="s">
        <v>21</v>
      </c>
      <c r="G1110" s="21" t="s">
        <v>72</v>
      </c>
      <c r="H1110" s="21" t="s">
        <v>73</v>
      </c>
      <c r="I1110" s="21" t="s">
        <v>90</v>
      </c>
      <c r="J1110" s="68">
        <f>+MONTH(ExpenseTable[[#This Row],[Voucher Date]])</f>
        <v>10</v>
      </c>
      <c r="K1110" s="13" t="s">
        <v>1154</v>
      </c>
    </row>
    <row r="1111" spans="1:11" x14ac:dyDescent="0.35">
      <c r="A1111" s="15">
        <v>45957</v>
      </c>
      <c r="B1111" s="11" t="s">
        <v>1259</v>
      </c>
      <c r="C1111" s="19">
        <v>45943</v>
      </c>
      <c r="D1111" s="13" t="s">
        <v>1263</v>
      </c>
      <c r="E1111" s="12">
        <v>5000</v>
      </c>
      <c r="F1111" s="21" t="s">
        <v>1141</v>
      </c>
      <c r="G1111" s="21" t="s">
        <v>72</v>
      </c>
      <c r="H1111" s="21" t="s">
        <v>73</v>
      </c>
      <c r="I1111" s="21" t="s">
        <v>90</v>
      </c>
      <c r="J1111" s="68">
        <f>+MONTH(ExpenseTable[[#This Row],[Voucher Date]])</f>
        <v>10</v>
      </c>
      <c r="K1111" s="13" t="s">
        <v>1154</v>
      </c>
    </row>
    <row r="1112" spans="1:11" x14ac:dyDescent="0.35">
      <c r="A1112" s="15">
        <v>45960</v>
      </c>
      <c r="B1112" s="11" t="s">
        <v>1259</v>
      </c>
      <c r="C1112" s="19">
        <v>45943</v>
      </c>
      <c r="D1112" s="13" t="s">
        <v>1264</v>
      </c>
      <c r="E1112" s="12">
        <v>5000</v>
      </c>
      <c r="F1112" s="21" t="s">
        <v>40</v>
      </c>
      <c r="G1112" s="21" t="s">
        <v>72</v>
      </c>
      <c r="H1112" s="21" t="s">
        <v>73</v>
      </c>
      <c r="I1112" s="21" t="s">
        <v>90</v>
      </c>
      <c r="J1112" s="68">
        <f>+MONTH(ExpenseTable[[#This Row],[Voucher Date]])</f>
        <v>10</v>
      </c>
      <c r="K1112" s="13" t="s">
        <v>1154</v>
      </c>
    </row>
    <row r="1113" spans="1:11" x14ac:dyDescent="0.35">
      <c r="A1113" s="15">
        <v>45961</v>
      </c>
      <c r="B1113" s="11" t="s">
        <v>1259</v>
      </c>
      <c r="C1113" s="19">
        <v>45943</v>
      </c>
      <c r="D1113" s="13" t="s">
        <v>1266</v>
      </c>
      <c r="E1113" s="12">
        <v>10000</v>
      </c>
      <c r="F1113" s="21" t="s">
        <v>30</v>
      </c>
      <c r="G1113" s="21" t="s">
        <v>72</v>
      </c>
      <c r="H1113" s="21" t="s">
        <v>73</v>
      </c>
      <c r="I1113" s="21" t="s">
        <v>90</v>
      </c>
      <c r="J1113" s="68">
        <f>+MONTH(ExpenseTable[[#This Row],[Voucher Date]])</f>
        <v>10</v>
      </c>
      <c r="K1113" s="13" t="s">
        <v>1154</v>
      </c>
    </row>
    <row r="1114" spans="1:11" x14ac:dyDescent="0.35">
      <c r="A1114" s="15">
        <v>45946</v>
      </c>
      <c r="B1114" s="11" t="s">
        <v>1259</v>
      </c>
      <c r="C1114" s="19">
        <v>45943</v>
      </c>
      <c r="D1114" s="13" t="s">
        <v>1261</v>
      </c>
      <c r="E1114" s="12">
        <v>11900</v>
      </c>
      <c r="F1114" s="21" t="s">
        <v>40</v>
      </c>
      <c r="G1114" s="21" t="s">
        <v>72</v>
      </c>
      <c r="H1114" s="21" t="s">
        <v>73</v>
      </c>
      <c r="I1114" s="21" t="s">
        <v>90</v>
      </c>
      <c r="J1114" s="68">
        <f>+MONTH(ExpenseTable[[#This Row],[Voucher Date]])</f>
        <v>10</v>
      </c>
      <c r="K1114" s="13" t="s">
        <v>1154</v>
      </c>
    </row>
    <row r="1115" spans="1:11" x14ac:dyDescent="0.35">
      <c r="A1115" s="15">
        <v>45960</v>
      </c>
      <c r="B1115" s="11" t="s">
        <v>1259</v>
      </c>
      <c r="C1115" s="19">
        <v>45943</v>
      </c>
      <c r="D1115" s="13" t="s">
        <v>1265</v>
      </c>
      <c r="E1115" s="12">
        <v>15500</v>
      </c>
      <c r="F1115" s="21" t="s">
        <v>27</v>
      </c>
      <c r="G1115" s="21" t="s">
        <v>72</v>
      </c>
      <c r="H1115" s="21" t="s">
        <v>73</v>
      </c>
      <c r="I1115" s="21" t="s">
        <v>90</v>
      </c>
      <c r="J1115" s="68">
        <f>+MONTH(ExpenseTable[[#This Row],[Voucher Date]])</f>
        <v>10</v>
      </c>
      <c r="K1115" s="13" t="s">
        <v>1154</v>
      </c>
    </row>
    <row r="1116" spans="1:11" x14ac:dyDescent="0.35">
      <c r="A1116" s="15">
        <v>45961</v>
      </c>
      <c r="B1116" s="11" t="s">
        <v>1259</v>
      </c>
      <c r="C1116" s="19">
        <v>45943</v>
      </c>
      <c r="D1116" s="13" t="s">
        <v>209</v>
      </c>
      <c r="E1116" s="12">
        <v>20000</v>
      </c>
      <c r="F1116" s="21" t="s">
        <v>20</v>
      </c>
      <c r="G1116" s="21" t="s">
        <v>72</v>
      </c>
      <c r="H1116" s="21" t="s">
        <v>73</v>
      </c>
      <c r="I1116" s="21" t="s">
        <v>90</v>
      </c>
      <c r="J1116" s="68">
        <f>+MONTH(ExpenseTable[[#This Row],[Voucher Date]])</f>
        <v>10</v>
      </c>
      <c r="K1116" s="13" t="s">
        <v>1154</v>
      </c>
    </row>
    <row r="1117" spans="1:11" x14ac:dyDescent="0.35">
      <c r="A1117" s="15">
        <v>45954</v>
      </c>
      <c r="B1117" s="11" t="s">
        <v>1259</v>
      </c>
      <c r="C1117" s="19">
        <v>45943</v>
      </c>
      <c r="D1117" s="13" t="s">
        <v>1262</v>
      </c>
      <c r="E1117" s="12">
        <v>100000</v>
      </c>
      <c r="F1117" s="21" t="s">
        <v>29</v>
      </c>
      <c r="G1117" s="21" t="s">
        <v>72</v>
      </c>
      <c r="H1117" s="21" t="s">
        <v>73</v>
      </c>
      <c r="I1117" s="21" t="s">
        <v>90</v>
      </c>
      <c r="J1117" s="68">
        <f>+MONTH(ExpenseTable[[#This Row],[Voucher Date]])</f>
        <v>10</v>
      </c>
      <c r="K1117" s="13" t="s">
        <v>1154</v>
      </c>
    </row>
    <row r="1118" spans="1:11" x14ac:dyDescent="0.35">
      <c r="A1118" s="15">
        <v>45945</v>
      </c>
      <c r="B1118" s="11" t="s">
        <v>1086</v>
      </c>
      <c r="C1118" s="19">
        <v>45945</v>
      </c>
      <c r="D1118" s="13" t="s">
        <v>1087</v>
      </c>
      <c r="E1118" s="12">
        <v>2000</v>
      </c>
      <c r="F1118" s="21" t="s">
        <v>27</v>
      </c>
      <c r="G1118" s="21" t="s">
        <v>72</v>
      </c>
      <c r="H1118" s="21" t="s">
        <v>73</v>
      </c>
      <c r="I1118" s="21" t="s">
        <v>90</v>
      </c>
      <c r="J1118" s="68">
        <f>+MONTH(ExpenseTable[[#This Row],[Voucher Date]])</f>
        <v>10</v>
      </c>
      <c r="K1118" s="13" t="s">
        <v>1015</v>
      </c>
    </row>
    <row r="1119" spans="1:11" x14ac:dyDescent="0.35">
      <c r="A1119" s="15">
        <v>45946</v>
      </c>
      <c r="B1119" s="11" t="s">
        <v>1086</v>
      </c>
      <c r="C1119" s="19">
        <v>45945</v>
      </c>
      <c r="D1119" s="13" t="s">
        <v>1089</v>
      </c>
      <c r="E1119" s="12">
        <v>5000</v>
      </c>
      <c r="F1119" s="21" t="s">
        <v>5</v>
      </c>
      <c r="G1119" s="21" t="s">
        <v>72</v>
      </c>
      <c r="H1119" s="21" t="s">
        <v>73</v>
      </c>
      <c r="I1119" s="21" t="s">
        <v>90</v>
      </c>
      <c r="J1119" s="68">
        <f>+MONTH(ExpenseTable[[#This Row],[Voucher Date]])</f>
        <v>10</v>
      </c>
      <c r="K1119" s="13" t="s">
        <v>1015</v>
      </c>
    </row>
    <row r="1120" spans="1:11" x14ac:dyDescent="0.35">
      <c r="A1120" s="15">
        <v>45950</v>
      </c>
      <c r="B1120" s="11" t="s">
        <v>1086</v>
      </c>
      <c r="C1120" s="19">
        <v>45945</v>
      </c>
      <c r="D1120" s="13" t="s">
        <v>1091</v>
      </c>
      <c r="E1120" s="12">
        <v>5400</v>
      </c>
      <c r="F1120" s="21" t="s">
        <v>4</v>
      </c>
      <c r="G1120" s="21" t="s">
        <v>72</v>
      </c>
      <c r="H1120" s="21" t="s">
        <v>73</v>
      </c>
      <c r="I1120" s="21" t="s">
        <v>90</v>
      </c>
      <c r="J1120" s="68">
        <f>+MONTH(ExpenseTable[[#This Row],[Voucher Date]])</f>
        <v>10</v>
      </c>
      <c r="K1120" s="13" t="s">
        <v>1015</v>
      </c>
    </row>
    <row r="1121" spans="1:11" x14ac:dyDescent="0.35">
      <c r="A1121" s="15">
        <v>45947</v>
      </c>
      <c r="B1121" s="11" t="s">
        <v>1086</v>
      </c>
      <c r="C1121" s="19">
        <v>45945</v>
      </c>
      <c r="D1121" s="13" t="s">
        <v>1088</v>
      </c>
      <c r="E1121" s="12">
        <v>10000</v>
      </c>
      <c r="F1121" s="21" t="s">
        <v>5</v>
      </c>
      <c r="G1121" s="21" t="s">
        <v>72</v>
      </c>
      <c r="H1121" s="21" t="s">
        <v>73</v>
      </c>
      <c r="I1121" s="21" t="s">
        <v>90</v>
      </c>
      <c r="J1121" s="68">
        <f>+MONTH(ExpenseTable[[#This Row],[Voucher Date]])</f>
        <v>10</v>
      </c>
      <c r="K1121" s="13" t="s">
        <v>1015</v>
      </c>
    </row>
    <row r="1122" spans="1:11" x14ac:dyDescent="0.35">
      <c r="A1122" s="15">
        <v>45948</v>
      </c>
      <c r="B1122" s="11" t="s">
        <v>1086</v>
      </c>
      <c r="C1122" s="19">
        <v>45945</v>
      </c>
      <c r="D1122" s="13" t="s">
        <v>1090</v>
      </c>
      <c r="E1122" s="12">
        <v>21000</v>
      </c>
      <c r="F1122" s="21" t="s">
        <v>4</v>
      </c>
      <c r="G1122" s="21" t="s">
        <v>72</v>
      </c>
      <c r="H1122" s="21" t="s">
        <v>73</v>
      </c>
      <c r="I1122" s="21" t="s">
        <v>90</v>
      </c>
      <c r="J1122" s="68">
        <f>+MONTH(ExpenseTable[[#This Row],[Voucher Date]])</f>
        <v>10</v>
      </c>
      <c r="K1122" s="13" t="s">
        <v>1015</v>
      </c>
    </row>
    <row r="1123" spans="1:11" x14ac:dyDescent="0.35">
      <c r="A1123" s="15">
        <v>45952</v>
      </c>
      <c r="B1123" s="11" t="s">
        <v>1086</v>
      </c>
      <c r="C1123" s="19">
        <v>45945</v>
      </c>
      <c r="D1123" s="13" t="s">
        <v>1092</v>
      </c>
      <c r="E1123" s="12">
        <v>35000</v>
      </c>
      <c r="F1123" s="21" t="s">
        <v>47</v>
      </c>
      <c r="G1123" s="21" t="s">
        <v>72</v>
      </c>
      <c r="H1123" s="21" t="s">
        <v>73</v>
      </c>
      <c r="I1123" s="21" t="s">
        <v>90</v>
      </c>
      <c r="J1123" s="68">
        <f>+MONTH(ExpenseTable[[#This Row],[Voucher Date]])</f>
        <v>10</v>
      </c>
      <c r="K1123" s="13" t="s">
        <v>1015</v>
      </c>
    </row>
    <row r="1124" spans="1:11" x14ac:dyDescent="0.35">
      <c r="A1124" s="15">
        <v>45947</v>
      </c>
      <c r="B1124" s="11" t="s">
        <v>1086</v>
      </c>
      <c r="C1124" s="19">
        <v>45945</v>
      </c>
      <c r="D1124" s="13" t="s">
        <v>189</v>
      </c>
      <c r="E1124" s="12">
        <v>55200</v>
      </c>
      <c r="F1124" s="21" t="s">
        <v>40</v>
      </c>
      <c r="G1124" s="21" t="s">
        <v>72</v>
      </c>
      <c r="H1124" s="21" t="s">
        <v>73</v>
      </c>
      <c r="I1124" s="21" t="s">
        <v>90</v>
      </c>
      <c r="J1124" s="68">
        <f>+MONTH(ExpenseTable[[#This Row],[Voucher Date]])</f>
        <v>10</v>
      </c>
      <c r="K1124" s="13" t="s">
        <v>1015</v>
      </c>
    </row>
    <row r="1125" spans="1:11" x14ac:dyDescent="0.35">
      <c r="A1125" s="15">
        <v>45947</v>
      </c>
      <c r="B1125" s="11" t="s">
        <v>1086</v>
      </c>
      <c r="C1125" s="19">
        <v>45945</v>
      </c>
      <c r="D1125" s="13" t="s">
        <v>189</v>
      </c>
      <c r="E1125" s="12">
        <v>55200</v>
      </c>
      <c r="F1125" s="21" t="s">
        <v>40</v>
      </c>
      <c r="G1125" s="21" t="s">
        <v>72</v>
      </c>
      <c r="H1125" s="21" t="s">
        <v>73</v>
      </c>
      <c r="I1125" s="21" t="s">
        <v>90</v>
      </c>
      <c r="J1125" s="68">
        <f>+MONTH(ExpenseTable[[#This Row],[Voucher Date]])</f>
        <v>10</v>
      </c>
      <c r="K1125" s="13" t="s">
        <v>1015</v>
      </c>
    </row>
    <row r="1126" spans="1:11" x14ac:dyDescent="0.35">
      <c r="A1126" s="15">
        <v>46311</v>
      </c>
      <c r="B1126" s="11" t="s">
        <v>1119</v>
      </c>
      <c r="C1126" s="19">
        <v>45946</v>
      </c>
      <c r="D1126" s="13" t="s">
        <v>157</v>
      </c>
      <c r="E1126" s="12">
        <v>3000</v>
      </c>
      <c r="F1126" s="21" t="s">
        <v>54</v>
      </c>
      <c r="G1126" s="21" t="s">
        <v>72</v>
      </c>
      <c r="H1126" s="21" t="s">
        <v>73</v>
      </c>
      <c r="I1126" s="21" t="s">
        <v>1123</v>
      </c>
      <c r="J1126" s="68">
        <f>+MONTH(ExpenseTable[[#This Row],[Voucher Date]])</f>
        <v>10</v>
      </c>
      <c r="K1126" s="13" t="s">
        <v>108</v>
      </c>
    </row>
    <row r="1127" spans="1:11" x14ac:dyDescent="0.35">
      <c r="A1127" s="15">
        <v>46319</v>
      </c>
      <c r="B1127" s="11" t="s">
        <v>1119</v>
      </c>
      <c r="C1127" s="19">
        <v>45946</v>
      </c>
      <c r="D1127" s="13" t="s">
        <v>1121</v>
      </c>
      <c r="E1127" s="12">
        <v>10000</v>
      </c>
      <c r="F1127" s="21" t="s">
        <v>5</v>
      </c>
      <c r="G1127" s="21" t="s">
        <v>72</v>
      </c>
      <c r="H1127" s="21" t="s">
        <v>73</v>
      </c>
      <c r="I1127" s="21" t="s">
        <v>1123</v>
      </c>
      <c r="J1127" s="68">
        <f>+MONTH(ExpenseTable[[#This Row],[Voucher Date]])</f>
        <v>10</v>
      </c>
      <c r="K1127" s="13" t="s">
        <v>108</v>
      </c>
    </row>
    <row r="1128" spans="1:11" x14ac:dyDescent="0.35">
      <c r="A1128" s="15">
        <v>46324</v>
      </c>
      <c r="B1128" s="11" t="s">
        <v>1119</v>
      </c>
      <c r="C1128" s="19">
        <v>45946</v>
      </c>
      <c r="D1128" s="13" t="s">
        <v>189</v>
      </c>
      <c r="E1128" s="12">
        <v>20000</v>
      </c>
      <c r="F1128" s="21" t="s">
        <v>40</v>
      </c>
      <c r="G1128" s="21" t="s">
        <v>72</v>
      </c>
      <c r="H1128" s="21" t="s">
        <v>73</v>
      </c>
      <c r="I1128" s="21" t="s">
        <v>1123</v>
      </c>
      <c r="J1128" s="68">
        <f>+MONTH(ExpenseTable[[#This Row],[Voucher Date]])</f>
        <v>10</v>
      </c>
      <c r="K1128" s="13" t="s">
        <v>108</v>
      </c>
    </row>
    <row r="1129" spans="1:11" x14ac:dyDescent="0.35">
      <c r="A1129" s="15">
        <v>46324</v>
      </c>
      <c r="B1129" s="11" t="s">
        <v>1119</v>
      </c>
      <c r="C1129" s="19">
        <v>45946</v>
      </c>
      <c r="D1129" s="13" t="s">
        <v>1122</v>
      </c>
      <c r="E1129" s="12">
        <v>20000</v>
      </c>
      <c r="F1129" s="21" t="s">
        <v>4</v>
      </c>
      <c r="G1129" s="21" t="s">
        <v>72</v>
      </c>
      <c r="H1129" s="21" t="s">
        <v>73</v>
      </c>
      <c r="I1129" s="21" t="s">
        <v>1123</v>
      </c>
      <c r="J1129" s="68">
        <f>+MONTH(ExpenseTable[[#This Row],[Voucher Date]])</f>
        <v>10</v>
      </c>
      <c r="K1129" s="13" t="s">
        <v>108</v>
      </c>
    </row>
    <row r="1130" spans="1:11" x14ac:dyDescent="0.35">
      <c r="A1130" s="15">
        <v>46311</v>
      </c>
      <c r="B1130" s="11" t="s">
        <v>1119</v>
      </c>
      <c r="C1130" s="19">
        <v>45946</v>
      </c>
      <c r="D1130" s="13" t="s">
        <v>1120</v>
      </c>
      <c r="E1130" s="12">
        <v>25000</v>
      </c>
      <c r="F1130" s="21" t="s">
        <v>4</v>
      </c>
      <c r="G1130" s="21" t="s">
        <v>72</v>
      </c>
      <c r="H1130" s="21" t="s">
        <v>73</v>
      </c>
      <c r="I1130" s="21" t="s">
        <v>1123</v>
      </c>
      <c r="J1130" s="68">
        <f>+MONTH(ExpenseTable[[#This Row],[Voucher Date]])</f>
        <v>10</v>
      </c>
      <c r="K1130" s="13" t="s">
        <v>108</v>
      </c>
    </row>
    <row r="1131" spans="1:11" x14ac:dyDescent="0.35">
      <c r="A1131" s="15">
        <v>46326</v>
      </c>
      <c r="B1131" s="11" t="s">
        <v>1119</v>
      </c>
      <c r="C1131" s="19">
        <v>45946</v>
      </c>
      <c r="D1131" s="13" t="s">
        <v>189</v>
      </c>
      <c r="E1131" s="12">
        <v>40000</v>
      </c>
      <c r="F1131" s="21" t="s">
        <v>40</v>
      </c>
      <c r="G1131" s="21" t="s">
        <v>72</v>
      </c>
      <c r="H1131" s="21" t="s">
        <v>73</v>
      </c>
      <c r="I1131" s="21" t="s">
        <v>1123</v>
      </c>
      <c r="J1131" s="68">
        <f>+MONTH(ExpenseTable[[#This Row],[Voucher Date]])</f>
        <v>10</v>
      </c>
      <c r="K1131" s="13" t="s">
        <v>108</v>
      </c>
    </row>
    <row r="1132" spans="1:11" x14ac:dyDescent="0.35">
      <c r="A1132" s="15">
        <v>46322</v>
      </c>
      <c r="B1132" s="11" t="s">
        <v>1119</v>
      </c>
      <c r="C1132" s="19">
        <v>45946</v>
      </c>
      <c r="D1132" s="13" t="s">
        <v>189</v>
      </c>
      <c r="E1132" s="12">
        <v>50000</v>
      </c>
      <c r="F1132" s="21" t="s">
        <v>40</v>
      </c>
      <c r="G1132" s="21" t="s">
        <v>72</v>
      </c>
      <c r="H1132" s="21" t="s">
        <v>73</v>
      </c>
      <c r="I1132" s="21" t="s">
        <v>1123</v>
      </c>
      <c r="J1132" s="68">
        <f>+MONTH(ExpenseTable[[#This Row],[Voucher Date]])</f>
        <v>10</v>
      </c>
      <c r="K1132" s="13" t="s">
        <v>108</v>
      </c>
    </row>
    <row r="1133" spans="1:11" x14ac:dyDescent="0.35">
      <c r="A1133" s="15">
        <v>45946</v>
      </c>
      <c r="B1133" s="11" t="s">
        <v>1124</v>
      </c>
      <c r="C1133" s="19">
        <v>45946</v>
      </c>
      <c r="D1133" s="13" t="s">
        <v>1126</v>
      </c>
      <c r="E1133" s="12">
        <v>5000</v>
      </c>
      <c r="F1133" s="21" t="s">
        <v>54</v>
      </c>
      <c r="G1133" s="21" t="s">
        <v>72</v>
      </c>
      <c r="H1133" s="21" t="s">
        <v>73</v>
      </c>
      <c r="I1133" s="21" t="s">
        <v>90</v>
      </c>
      <c r="J1133" s="68">
        <f>+MONTH(ExpenseTable[[#This Row],[Voucher Date]])</f>
        <v>10</v>
      </c>
      <c r="K1133" s="13" t="s">
        <v>108</v>
      </c>
    </row>
    <row r="1134" spans="1:11" x14ac:dyDescent="0.35">
      <c r="A1134" s="15">
        <v>45946</v>
      </c>
      <c r="B1134" s="11" t="s">
        <v>1124</v>
      </c>
      <c r="C1134" s="19">
        <v>45946</v>
      </c>
      <c r="D1134" s="13" t="s">
        <v>1127</v>
      </c>
      <c r="E1134" s="12">
        <v>25000</v>
      </c>
      <c r="F1134" s="21" t="s">
        <v>54</v>
      </c>
      <c r="G1134" s="21" t="s">
        <v>72</v>
      </c>
      <c r="H1134" s="21" t="s">
        <v>73</v>
      </c>
      <c r="I1134" s="21" t="s">
        <v>90</v>
      </c>
      <c r="J1134" s="68">
        <f>+MONTH(ExpenseTable[[#This Row],[Voucher Date]])</f>
        <v>10</v>
      </c>
      <c r="K1134" s="13" t="s">
        <v>108</v>
      </c>
    </row>
    <row r="1135" spans="1:11" x14ac:dyDescent="0.35">
      <c r="A1135" s="15">
        <v>45946</v>
      </c>
      <c r="B1135" s="11" t="s">
        <v>1124</v>
      </c>
      <c r="C1135" s="19">
        <v>45946</v>
      </c>
      <c r="D1135" s="13" t="s">
        <v>1128</v>
      </c>
      <c r="E1135" s="12">
        <v>30000</v>
      </c>
      <c r="F1135" s="21" t="s">
        <v>4</v>
      </c>
      <c r="G1135" s="21" t="s">
        <v>72</v>
      </c>
      <c r="H1135" s="21" t="s">
        <v>73</v>
      </c>
      <c r="I1135" s="21" t="s">
        <v>90</v>
      </c>
      <c r="J1135" s="68">
        <f>+MONTH(ExpenseTable[[#This Row],[Voucher Date]])</f>
        <v>10</v>
      </c>
      <c r="K1135" s="13" t="s">
        <v>108</v>
      </c>
    </row>
    <row r="1136" spans="1:11" x14ac:dyDescent="0.35">
      <c r="A1136" s="15">
        <v>45946</v>
      </c>
      <c r="B1136" s="11" t="s">
        <v>1124</v>
      </c>
      <c r="C1136" s="19">
        <v>45946</v>
      </c>
      <c r="D1136" s="13" t="s">
        <v>1129</v>
      </c>
      <c r="E1136" s="12">
        <v>30000</v>
      </c>
      <c r="F1136" s="21" t="s">
        <v>4</v>
      </c>
      <c r="G1136" s="21" t="s">
        <v>72</v>
      </c>
      <c r="H1136" s="21" t="s">
        <v>73</v>
      </c>
      <c r="I1136" s="21" t="s">
        <v>90</v>
      </c>
      <c r="J1136" s="68">
        <f>+MONTH(ExpenseTable[[#This Row],[Voucher Date]])</f>
        <v>10</v>
      </c>
      <c r="K1136" s="13" t="s">
        <v>108</v>
      </c>
    </row>
    <row r="1137" spans="1:11" x14ac:dyDescent="0.35">
      <c r="A1137" s="15">
        <v>45946</v>
      </c>
      <c r="B1137" s="11" t="s">
        <v>1124</v>
      </c>
      <c r="C1137" s="19">
        <v>45946</v>
      </c>
      <c r="D1137" s="13" t="s">
        <v>1125</v>
      </c>
      <c r="E1137" s="12">
        <v>55000</v>
      </c>
      <c r="F1137" s="21" t="s">
        <v>20</v>
      </c>
      <c r="G1137" s="21" t="s">
        <v>72</v>
      </c>
      <c r="H1137" s="21" t="s">
        <v>73</v>
      </c>
      <c r="I1137" s="21" t="s">
        <v>90</v>
      </c>
      <c r="J1137" s="68">
        <f>+MONTH(ExpenseTable[[#This Row],[Voucher Date]])</f>
        <v>10</v>
      </c>
      <c r="K1137" s="13" t="s">
        <v>108</v>
      </c>
    </row>
    <row r="1138" spans="1:11" x14ac:dyDescent="0.35">
      <c r="A1138" s="15">
        <v>45946</v>
      </c>
      <c r="B1138" s="11" t="s">
        <v>1124</v>
      </c>
      <c r="C1138" s="19">
        <v>45946</v>
      </c>
      <c r="D1138" s="13" t="s">
        <v>1130</v>
      </c>
      <c r="E1138" s="12">
        <v>496731.25</v>
      </c>
      <c r="F1138" s="21" t="s">
        <v>88</v>
      </c>
      <c r="G1138" s="21" t="s">
        <v>72</v>
      </c>
      <c r="H1138" s="21" t="s">
        <v>73</v>
      </c>
      <c r="I1138" s="21" t="s">
        <v>90</v>
      </c>
      <c r="J1138" s="68">
        <f>+MONTH(ExpenseTable[[#This Row],[Voucher Date]])</f>
        <v>10</v>
      </c>
      <c r="K1138" s="13" t="s">
        <v>108</v>
      </c>
    </row>
    <row r="1139" spans="1:11" x14ac:dyDescent="0.35">
      <c r="A1139" s="15">
        <v>45957</v>
      </c>
      <c r="B1139" s="11" t="s">
        <v>1131</v>
      </c>
      <c r="C1139" s="19">
        <v>45952</v>
      </c>
      <c r="D1139" s="13" t="s">
        <v>157</v>
      </c>
      <c r="E1139" s="12">
        <v>2400</v>
      </c>
      <c r="F1139" s="21" t="s">
        <v>54</v>
      </c>
      <c r="G1139" s="21" t="s">
        <v>72</v>
      </c>
      <c r="H1139" s="21" t="s">
        <v>73</v>
      </c>
      <c r="I1139" s="21" t="s">
        <v>90</v>
      </c>
      <c r="J1139" s="68">
        <f>+MONTH(ExpenseTable[[#This Row],[Voucher Date]])</f>
        <v>10</v>
      </c>
      <c r="K1139" s="13" t="s">
        <v>108</v>
      </c>
    </row>
    <row r="1140" spans="1:11" x14ac:dyDescent="0.35">
      <c r="A1140" s="15">
        <v>45952</v>
      </c>
      <c r="B1140" s="11" t="s">
        <v>1131</v>
      </c>
      <c r="C1140" s="19">
        <v>45952</v>
      </c>
      <c r="D1140" s="13" t="s">
        <v>1132</v>
      </c>
      <c r="E1140" s="12">
        <v>4000</v>
      </c>
      <c r="F1140" s="21" t="s">
        <v>40</v>
      </c>
      <c r="G1140" s="21" t="s">
        <v>72</v>
      </c>
      <c r="H1140" s="21" t="s">
        <v>73</v>
      </c>
      <c r="I1140" s="21" t="s">
        <v>90</v>
      </c>
      <c r="J1140" s="68">
        <f>+MONTH(ExpenseTable[[#This Row],[Voucher Date]])</f>
        <v>10</v>
      </c>
      <c r="K1140" s="13" t="s">
        <v>108</v>
      </c>
    </row>
    <row r="1141" spans="1:11" x14ac:dyDescent="0.35">
      <c r="A1141" s="15">
        <v>45959</v>
      </c>
      <c r="B1141" s="11" t="s">
        <v>1131</v>
      </c>
      <c r="C1141" s="19">
        <v>45952</v>
      </c>
      <c r="D1141" s="13" t="s">
        <v>1135</v>
      </c>
      <c r="E1141" s="12">
        <v>4000</v>
      </c>
      <c r="F1141" s="21" t="s">
        <v>19</v>
      </c>
      <c r="G1141" s="21" t="s">
        <v>72</v>
      </c>
      <c r="H1141" s="21" t="s">
        <v>73</v>
      </c>
      <c r="I1141" s="21" t="s">
        <v>90</v>
      </c>
      <c r="J1141" s="68">
        <f>+MONTH(ExpenseTable[[#This Row],[Voucher Date]])</f>
        <v>10</v>
      </c>
      <c r="K1141" s="13" t="s">
        <v>108</v>
      </c>
    </row>
    <row r="1142" spans="1:11" x14ac:dyDescent="0.35">
      <c r="A1142" s="15">
        <v>45957</v>
      </c>
      <c r="B1142" s="11" t="s">
        <v>1131</v>
      </c>
      <c r="C1142" s="19">
        <v>45952</v>
      </c>
      <c r="D1142" s="13" t="s">
        <v>1134</v>
      </c>
      <c r="E1142" s="12">
        <v>8560</v>
      </c>
      <c r="F1142" s="21" t="s">
        <v>37</v>
      </c>
      <c r="G1142" s="21" t="s">
        <v>72</v>
      </c>
      <c r="H1142" s="21" t="s">
        <v>73</v>
      </c>
      <c r="I1142" s="21" t="s">
        <v>90</v>
      </c>
      <c r="J1142" s="68">
        <f>+MONTH(ExpenseTable[[#This Row],[Voucher Date]])</f>
        <v>10</v>
      </c>
      <c r="K1142" s="13" t="s">
        <v>108</v>
      </c>
    </row>
    <row r="1143" spans="1:11" x14ac:dyDescent="0.35">
      <c r="A1143" s="15">
        <v>45954</v>
      </c>
      <c r="B1143" s="11" t="s">
        <v>1131</v>
      </c>
      <c r="C1143" s="19">
        <v>45952</v>
      </c>
      <c r="D1143" s="13" t="s">
        <v>1133</v>
      </c>
      <c r="E1143" s="12">
        <v>11900</v>
      </c>
      <c r="F1143" s="21" t="s">
        <v>4</v>
      </c>
      <c r="G1143" s="21" t="s">
        <v>72</v>
      </c>
      <c r="H1143" s="21" t="s">
        <v>73</v>
      </c>
      <c r="I1143" s="21" t="s">
        <v>90</v>
      </c>
      <c r="J1143" s="68">
        <f>+MONTH(ExpenseTable[[#This Row],[Voucher Date]])</f>
        <v>10</v>
      </c>
      <c r="K1143" s="13" t="s">
        <v>108</v>
      </c>
    </row>
    <row r="1144" spans="1:11" x14ac:dyDescent="0.35">
      <c r="A1144" s="15">
        <v>45959</v>
      </c>
      <c r="B1144" s="11" t="s">
        <v>1131</v>
      </c>
      <c r="C1144" s="19">
        <v>45952</v>
      </c>
      <c r="D1144" s="13" t="s">
        <v>288</v>
      </c>
      <c r="E1144" s="12">
        <v>20000</v>
      </c>
      <c r="F1144" s="21" t="s">
        <v>40</v>
      </c>
      <c r="G1144" s="21" t="s">
        <v>72</v>
      </c>
      <c r="H1144" s="21" t="s">
        <v>73</v>
      </c>
      <c r="I1144" s="21" t="s">
        <v>90</v>
      </c>
      <c r="J1144" s="68">
        <f>+MONTH(ExpenseTable[[#This Row],[Voucher Date]])</f>
        <v>10</v>
      </c>
      <c r="K1144" s="13" t="s">
        <v>108</v>
      </c>
    </row>
    <row r="1145" spans="1:11" x14ac:dyDescent="0.35">
      <c r="A1145" s="15">
        <v>45952</v>
      </c>
      <c r="B1145" s="11" t="s">
        <v>1131</v>
      </c>
      <c r="C1145" s="19">
        <v>45952</v>
      </c>
      <c r="D1145" s="13" t="s">
        <v>288</v>
      </c>
      <c r="E1145" s="12">
        <v>40000</v>
      </c>
      <c r="F1145" s="21" t="s">
        <v>40</v>
      </c>
      <c r="G1145" s="21" t="s">
        <v>72</v>
      </c>
      <c r="H1145" s="21" t="s">
        <v>73</v>
      </c>
      <c r="I1145" s="21" t="s">
        <v>90</v>
      </c>
      <c r="J1145" s="68">
        <f>+MONTH(ExpenseTable[[#This Row],[Voucher Date]])</f>
        <v>10</v>
      </c>
      <c r="K1145" s="13" t="s">
        <v>108</v>
      </c>
    </row>
    <row r="1146" spans="1:11" x14ac:dyDescent="0.35">
      <c r="A1146" s="15">
        <v>45954</v>
      </c>
      <c r="B1146" s="11" t="s">
        <v>1136</v>
      </c>
      <c r="C1146" s="19">
        <v>45954</v>
      </c>
      <c r="D1146" s="13" t="s">
        <v>1138</v>
      </c>
      <c r="E1146" s="12">
        <v>20000</v>
      </c>
      <c r="F1146" s="21" t="s">
        <v>4</v>
      </c>
      <c r="G1146" s="21" t="s">
        <v>72</v>
      </c>
      <c r="H1146" s="21" t="s">
        <v>73</v>
      </c>
      <c r="I1146" s="21" t="s">
        <v>91</v>
      </c>
      <c r="J1146" s="68">
        <f>+MONTH(ExpenseTable[[#This Row],[Voucher Date]])</f>
        <v>10</v>
      </c>
      <c r="K1146" s="13" t="s">
        <v>1039</v>
      </c>
    </row>
    <row r="1147" spans="1:11" x14ac:dyDescent="0.35">
      <c r="A1147" s="15">
        <v>45954</v>
      </c>
      <c r="B1147" s="11" t="s">
        <v>1136</v>
      </c>
      <c r="C1147" s="19">
        <v>45954</v>
      </c>
      <c r="D1147" s="13" t="s">
        <v>1140</v>
      </c>
      <c r="E1147" s="12">
        <v>90000</v>
      </c>
      <c r="F1147" s="21" t="s">
        <v>1141</v>
      </c>
      <c r="G1147" s="21" t="s">
        <v>72</v>
      </c>
      <c r="H1147" s="21" t="s">
        <v>73</v>
      </c>
      <c r="I1147" s="21" t="s">
        <v>91</v>
      </c>
      <c r="J1147" s="68">
        <f>+MONTH(ExpenseTable[[#This Row],[Voucher Date]])</f>
        <v>10</v>
      </c>
      <c r="K1147" s="13" t="s">
        <v>1039</v>
      </c>
    </row>
    <row r="1148" spans="1:11" x14ac:dyDescent="0.35">
      <c r="A1148" s="15">
        <v>45954</v>
      </c>
      <c r="B1148" s="11" t="s">
        <v>1136</v>
      </c>
      <c r="C1148" s="19">
        <v>45954</v>
      </c>
      <c r="D1148" s="13" t="s">
        <v>1139</v>
      </c>
      <c r="E1148" s="12">
        <v>101000</v>
      </c>
      <c r="F1148" s="21" t="s">
        <v>1141</v>
      </c>
      <c r="G1148" s="21" t="s">
        <v>72</v>
      </c>
      <c r="H1148" s="21" t="s">
        <v>73</v>
      </c>
      <c r="I1148" s="21" t="s">
        <v>91</v>
      </c>
      <c r="J1148" s="68">
        <f>+MONTH(ExpenseTable[[#This Row],[Voucher Date]])</f>
        <v>10</v>
      </c>
      <c r="K1148" s="13" t="s">
        <v>1039</v>
      </c>
    </row>
    <row r="1149" spans="1:11" x14ac:dyDescent="0.35">
      <c r="A1149" s="15">
        <v>45954</v>
      </c>
      <c r="B1149" s="11" t="s">
        <v>1136</v>
      </c>
      <c r="C1149" s="19">
        <v>45954</v>
      </c>
      <c r="D1149" s="13" t="s">
        <v>1137</v>
      </c>
      <c r="E1149" s="12">
        <v>330000</v>
      </c>
      <c r="F1149" s="21" t="s">
        <v>5</v>
      </c>
      <c r="G1149" s="21" t="s">
        <v>72</v>
      </c>
      <c r="H1149" s="21" t="s">
        <v>73</v>
      </c>
      <c r="I1149" s="21" t="s">
        <v>91</v>
      </c>
      <c r="J1149" s="68">
        <f>+MONTH(ExpenseTable[[#This Row],[Voucher Date]])</f>
        <v>10</v>
      </c>
      <c r="K1149" s="13" t="s">
        <v>1039</v>
      </c>
    </row>
    <row r="1150" spans="1:11" x14ac:dyDescent="0.35">
      <c r="A1150" s="15">
        <v>45961</v>
      </c>
      <c r="B1150" s="11" t="s">
        <v>1142</v>
      </c>
      <c r="C1150" s="19">
        <v>45961</v>
      </c>
      <c r="D1150" s="13" t="s">
        <v>1146</v>
      </c>
      <c r="E1150" s="12">
        <v>10000</v>
      </c>
      <c r="F1150" s="21" t="s">
        <v>57</v>
      </c>
      <c r="G1150" s="21" t="s">
        <v>1016</v>
      </c>
      <c r="H1150" s="21" t="s">
        <v>79</v>
      </c>
      <c r="I1150" s="21" t="s">
        <v>90</v>
      </c>
      <c r="J1150" s="68">
        <f>+MONTH(ExpenseTable[[#This Row],[Voucher Date]])</f>
        <v>10</v>
      </c>
      <c r="K1150" s="13" t="s">
        <v>108</v>
      </c>
    </row>
    <row r="1151" spans="1:11" x14ac:dyDescent="0.35">
      <c r="A1151" s="15">
        <v>45961</v>
      </c>
      <c r="B1151" s="11" t="s">
        <v>1142</v>
      </c>
      <c r="C1151" s="19">
        <v>45961</v>
      </c>
      <c r="D1151" s="13" t="s">
        <v>1145</v>
      </c>
      <c r="E1151" s="12">
        <v>10000</v>
      </c>
      <c r="F1151" s="21" t="s">
        <v>57</v>
      </c>
      <c r="G1151" s="21" t="s">
        <v>72</v>
      </c>
      <c r="H1151" s="21" t="s">
        <v>73</v>
      </c>
      <c r="I1151" s="21" t="s">
        <v>90</v>
      </c>
      <c r="J1151" s="68">
        <f>+MONTH(ExpenseTable[[#This Row],[Voucher Date]])</f>
        <v>10</v>
      </c>
      <c r="K1151" s="13" t="s">
        <v>108</v>
      </c>
    </row>
    <row r="1152" spans="1:11" x14ac:dyDescent="0.35">
      <c r="A1152" s="15">
        <v>45961</v>
      </c>
      <c r="B1152" s="11" t="s">
        <v>1142</v>
      </c>
      <c r="C1152" s="19">
        <v>45961</v>
      </c>
      <c r="D1152" s="13" t="s">
        <v>1144</v>
      </c>
      <c r="E1152" s="12">
        <v>12200</v>
      </c>
      <c r="F1152" s="21" t="s">
        <v>54</v>
      </c>
      <c r="G1152" s="21" t="s">
        <v>65</v>
      </c>
      <c r="H1152" s="21" t="s">
        <v>73</v>
      </c>
      <c r="I1152" s="21" t="s">
        <v>90</v>
      </c>
      <c r="J1152" s="68">
        <f>+MONTH(ExpenseTable[[#This Row],[Voucher Date]])</f>
        <v>10</v>
      </c>
      <c r="K1152" s="13" t="s">
        <v>108</v>
      </c>
    </row>
    <row r="1153" spans="1:11" x14ac:dyDescent="0.35">
      <c r="A1153" s="15">
        <v>45961</v>
      </c>
      <c r="B1153" s="11" t="s">
        <v>1142</v>
      </c>
      <c r="C1153" s="19">
        <v>45961</v>
      </c>
      <c r="D1153" s="13" t="s">
        <v>1143</v>
      </c>
      <c r="E1153" s="12">
        <v>20000</v>
      </c>
      <c r="F1153" s="21" t="s">
        <v>40</v>
      </c>
      <c r="G1153" s="21" t="s">
        <v>72</v>
      </c>
      <c r="H1153" s="21" t="s">
        <v>73</v>
      </c>
      <c r="I1153" s="21" t="s">
        <v>90</v>
      </c>
      <c r="J1153" s="68">
        <f>+MONTH(ExpenseTable[[#This Row],[Voucher Date]])</f>
        <v>10</v>
      </c>
      <c r="K1153" s="13" t="s">
        <v>108</v>
      </c>
    </row>
    <row r="1154" spans="1:11" x14ac:dyDescent="0.35">
      <c r="A1154" s="15">
        <v>45961</v>
      </c>
      <c r="B1154" s="11" t="s">
        <v>1147</v>
      </c>
      <c r="C1154" s="19">
        <v>45961</v>
      </c>
      <c r="D1154" s="13" t="s">
        <v>1152</v>
      </c>
      <c r="E1154" s="12">
        <v>30000</v>
      </c>
      <c r="F1154" s="21" t="s">
        <v>4</v>
      </c>
      <c r="G1154" s="21" t="s">
        <v>72</v>
      </c>
      <c r="H1154" s="21" t="s">
        <v>73</v>
      </c>
      <c r="I1154" s="21" t="s">
        <v>91</v>
      </c>
      <c r="J1154" s="68">
        <f>+MONTH(ExpenseTable[[#This Row],[Voucher Date]])</f>
        <v>10</v>
      </c>
      <c r="K1154" s="13" t="s">
        <v>1039</v>
      </c>
    </row>
    <row r="1155" spans="1:11" x14ac:dyDescent="0.35">
      <c r="A1155" s="15">
        <v>45961</v>
      </c>
      <c r="B1155" s="11" t="s">
        <v>1147</v>
      </c>
      <c r="C1155" s="19">
        <v>45961</v>
      </c>
      <c r="D1155" s="13" t="s">
        <v>1153</v>
      </c>
      <c r="E1155" s="12">
        <v>30000</v>
      </c>
      <c r="F1155" s="21" t="s">
        <v>30</v>
      </c>
      <c r="G1155" s="21" t="s">
        <v>72</v>
      </c>
      <c r="H1155" s="21" t="s">
        <v>73</v>
      </c>
      <c r="I1155" s="21" t="s">
        <v>91</v>
      </c>
      <c r="J1155" s="68">
        <f>+MONTH(ExpenseTable[[#This Row],[Voucher Date]])</f>
        <v>10</v>
      </c>
      <c r="K1155" s="13" t="s">
        <v>1039</v>
      </c>
    </row>
    <row r="1156" spans="1:11" x14ac:dyDescent="0.35">
      <c r="A1156" s="15">
        <v>45961</v>
      </c>
      <c r="B1156" s="11" t="s">
        <v>1147</v>
      </c>
      <c r="C1156" s="19">
        <v>45961</v>
      </c>
      <c r="D1156" s="13" t="s">
        <v>1151</v>
      </c>
      <c r="E1156" s="12">
        <v>260000</v>
      </c>
      <c r="F1156" s="21" t="s">
        <v>38</v>
      </c>
      <c r="G1156" s="21" t="s">
        <v>72</v>
      </c>
      <c r="H1156" s="21" t="s">
        <v>73</v>
      </c>
      <c r="I1156" s="21" t="s">
        <v>91</v>
      </c>
      <c r="J1156" s="68">
        <f>+MONTH(ExpenseTable[[#This Row],[Voucher Date]])</f>
        <v>10</v>
      </c>
      <c r="K1156" s="13" t="s">
        <v>1039</v>
      </c>
    </row>
    <row r="1157" spans="1:11" x14ac:dyDescent="0.35">
      <c r="A1157" s="15">
        <v>45961</v>
      </c>
      <c r="B1157" s="11" t="s">
        <v>1147</v>
      </c>
      <c r="C1157" s="19">
        <v>45961</v>
      </c>
      <c r="D1157" s="13" t="s">
        <v>1150</v>
      </c>
      <c r="E1157" s="12">
        <v>300000</v>
      </c>
      <c r="F1157" s="21" t="s">
        <v>38</v>
      </c>
      <c r="G1157" s="21" t="s">
        <v>72</v>
      </c>
      <c r="H1157" s="21" t="s">
        <v>73</v>
      </c>
      <c r="I1157" s="21" t="s">
        <v>91</v>
      </c>
      <c r="J1157" s="68">
        <f>+MONTH(ExpenseTable[[#This Row],[Voucher Date]])</f>
        <v>10</v>
      </c>
      <c r="K1157" s="13" t="s">
        <v>1039</v>
      </c>
    </row>
    <row r="1158" spans="1:11" x14ac:dyDescent="0.35">
      <c r="A1158" s="15">
        <v>45961</v>
      </c>
      <c r="B1158" s="11" t="s">
        <v>1147</v>
      </c>
      <c r="C1158" s="19">
        <v>45961</v>
      </c>
      <c r="D1158" s="13" t="s">
        <v>1149</v>
      </c>
      <c r="E1158" s="12">
        <v>441168.75</v>
      </c>
      <c r="F1158" s="21" t="s">
        <v>54</v>
      </c>
      <c r="G1158" s="21" t="s">
        <v>72</v>
      </c>
      <c r="H1158" s="21" t="s">
        <v>73</v>
      </c>
      <c r="I1158" s="21" t="s">
        <v>91</v>
      </c>
      <c r="J1158" s="68">
        <f>+MONTH(ExpenseTable[[#This Row],[Voucher Date]])</f>
        <v>10</v>
      </c>
      <c r="K1158" s="13" t="s">
        <v>1039</v>
      </c>
    </row>
    <row r="1159" spans="1:11" x14ac:dyDescent="0.35">
      <c r="A1159" s="15">
        <v>45961</v>
      </c>
      <c r="B1159" s="11" t="s">
        <v>1147</v>
      </c>
      <c r="C1159" s="19">
        <v>45961</v>
      </c>
      <c r="D1159" s="13" t="s">
        <v>1148</v>
      </c>
      <c r="E1159" s="12">
        <v>1326624.24</v>
      </c>
      <c r="F1159" s="21" t="s">
        <v>29</v>
      </c>
      <c r="G1159" s="21" t="s">
        <v>72</v>
      </c>
      <c r="H1159" s="21" t="s">
        <v>73</v>
      </c>
      <c r="I1159" s="21" t="s">
        <v>91</v>
      </c>
      <c r="J1159" s="68">
        <f>+MONTH(ExpenseTable[[#This Row],[Voucher Date]])</f>
        <v>10</v>
      </c>
      <c r="K1159" s="13" t="s">
        <v>1039</v>
      </c>
    </row>
    <row r="1160" spans="1:11" x14ac:dyDescent="0.35">
      <c r="A1160" s="15">
        <v>45961</v>
      </c>
      <c r="B1160" s="11" t="s">
        <v>1241</v>
      </c>
      <c r="C1160" s="19">
        <v>45961</v>
      </c>
      <c r="D1160" s="13" t="s">
        <v>1243</v>
      </c>
      <c r="E1160" s="12">
        <v>10000</v>
      </c>
      <c r="F1160" s="21" t="s">
        <v>54</v>
      </c>
      <c r="G1160" s="21" t="s">
        <v>72</v>
      </c>
      <c r="H1160" s="21" t="s">
        <v>73</v>
      </c>
      <c r="I1160" s="21" t="s">
        <v>1123</v>
      </c>
      <c r="J1160" s="68">
        <f>+MONTH(ExpenseTable[[#This Row],[Voucher Date]])</f>
        <v>10</v>
      </c>
      <c r="K1160" s="13" t="s">
        <v>108</v>
      </c>
    </row>
    <row r="1161" spans="1:11" x14ac:dyDescent="0.35">
      <c r="A1161" s="15">
        <v>45961</v>
      </c>
      <c r="B1161" s="11" t="s">
        <v>1242</v>
      </c>
      <c r="C1161" s="19">
        <v>45961</v>
      </c>
      <c r="D1161" s="13" t="s">
        <v>1249</v>
      </c>
      <c r="E1161" s="12">
        <v>10000</v>
      </c>
      <c r="F1161" s="21" t="s">
        <v>22</v>
      </c>
      <c r="G1161" s="21" t="s">
        <v>72</v>
      </c>
      <c r="H1161" s="21" t="s">
        <v>73</v>
      </c>
      <c r="I1161" s="21" t="s">
        <v>90</v>
      </c>
      <c r="J1161" s="68">
        <f>+MONTH(ExpenseTable[[#This Row],[Voucher Date]])</f>
        <v>10</v>
      </c>
      <c r="K1161" s="13" t="s">
        <v>108</v>
      </c>
    </row>
    <row r="1162" spans="1:11" x14ac:dyDescent="0.35">
      <c r="A1162" s="15">
        <v>45961</v>
      </c>
      <c r="B1162" s="11" t="s">
        <v>1242</v>
      </c>
      <c r="C1162" s="19">
        <v>45961</v>
      </c>
      <c r="D1162" s="13" t="s">
        <v>1247</v>
      </c>
      <c r="E1162" s="12">
        <v>40000</v>
      </c>
      <c r="F1162" s="21" t="s">
        <v>20</v>
      </c>
      <c r="G1162" s="21" t="s">
        <v>72</v>
      </c>
      <c r="H1162" s="21" t="s">
        <v>73</v>
      </c>
      <c r="I1162" s="21" t="s">
        <v>90</v>
      </c>
      <c r="J1162" s="68">
        <f>+MONTH(ExpenseTable[[#This Row],[Voucher Date]])</f>
        <v>10</v>
      </c>
      <c r="K1162" s="13" t="s">
        <v>108</v>
      </c>
    </row>
    <row r="1163" spans="1:11" x14ac:dyDescent="0.35">
      <c r="A1163" s="15">
        <v>45961</v>
      </c>
      <c r="B1163" s="11" t="s">
        <v>1242</v>
      </c>
      <c r="C1163" s="19">
        <v>45961</v>
      </c>
      <c r="D1163" s="13" t="s">
        <v>1248</v>
      </c>
      <c r="E1163" s="12">
        <v>490000</v>
      </c>
      <c r="F1163" s="21" t="s">
        <v>50</v>
      </c>
      <c r="G1163" s="21" t="s">
        <v>72</v>
      </c>
      <c r="H1163" s="21" t="s">
        <v>73</v>
      </c>
      <c r="I1163" s="21" t="s">
        <v>90</v>
      </c>
      <c r="J1163" s="68">
        <f>+MONTH(ExpenseTable[[#This Row],[Voucher Date]])</f>
        <v>10</v>
      </c>
      <c r="K1163" s="13" t="s">
        <v>108</v>
      </c>
    </row>
    <row r="1164" spans="1:11" x14ac:dyDescent="0.35">
      <c r="A1164" s="15">
        <v>45965</v>
      </c>
      <c r="B1164" s="11" t="s">
        <v>1232</v>
      </c>
      <c r="C1164" s="19">
        <v>45971</v>
      </c>
      <c r="D1164" s="13" t="s">
        <v>1237</v>
      </c>
      <c r="E1164" s="12">
        <v>4000</v>
      </c>
      <c r="F1164" s="21" t="s">
        <v>54</v>
      </c>
      <c r="G1164" s="21" t="s">
        <v>72</v>
      </c>
      <c r="H1164" s="21" t="s">
        <v>73</v>
      </c>
      <c r="I1164" s="21" t="s">
        <v>90</v>
      </c>
      <c r="J1164" s="68">
        <f>+MONTH(ExpenseTable[[#This Row],[Voucher Date]])</f>
        <v>11</v>
      </c>
      <c r="K1164" s="13" t="s">
        <v>108</v>
      </c>
    </row>
    <row r="1165" spans="1:11" x14ac:dyDescent="0.35">
      <c r="A1165" s="15">
        <v>45965</v>
      </c>
      <c r="B1165" s="11" t="s">
        <v>1232</v>
      </c>
      <c r="C1165" s="19">
        <v>45971</v>
      </c>
      <c r="D1165" s="13" t="s">
        <v>1236</v>
      </c>
      <c r="E1165" s="12">
        <v>10000</v>
      </c>
      <c r="F1165" s="21" t="s">
        <v>40</v>
      </c>
      <c r="G1165" s="21" t="s">
        <v>72</v>
      </c>
      <c r="H1165" s="21" t="s">
        <v>73</v>
      </c>
      <c r="I1165" s="21" t="s">
        <v>90</v>
      </c>
      <c r="J1165" s="68">
        <f>+MONTH(ExpenseTable[[#This Row],[Voucher Date]])</f>
        <v>11</v>
      </c>
      <c r="K1165" s="13" t="s">
        <v>108</v>
      </c>
    </row>
    <row r="1166" spans="1:11" x14ac:dyDescent="0.35">
      <c r="A1166" s="15">
        <v>45965</v>
      </c>
      <c r="B1166" s="11" t="s">
        <v>1232</v>
      </c>
      <c r="C1166" s="19">
        <v>45971</v>
      </c>
      <c r="D1166" s="13" t="s">
        <v>1234</v>
      </c>
      <c r="E1166" s="12">
        <v>15000</v>
      </c>
      <c r="F1166" s="21" t="s">
        <v>21</v>
      </c>
      <c r="G1166" s="21" t="s">
        <v>72</v>
      </c>
      <c r="H1166" s="21" t="s">
        <v>73</v>
      </c>
      <c r="I1166" s="21" t="s">
        <v>90</v>
      </c>
      <c r="J1166" s="68">
        <f>+MONTH(ExpenseTable[[#This Row],[Voucher Date]])</f>
        <v>11</v>
      </c>
      <c r="K1166" s="13" t="s">
        <v>108</v>
      </c>
    </row>
    <row r="1167" spans="1:11" x14ac:dyDescent="0.35">
      <c r="A1167" s="15">
        <v>45965</v>
      </c>
      <c r="B1167" s="11" t="s">
        <v>1232</v>
      </c>
      <c r="C1167" s="19">
        <v>45971</v>
      </c>
      <c r="D1167" s="13" t="s">
        <v>1240</v>
      </c>
      <c r="E1167" s="12">
        <v>24800</v>
      </c>
      <c r="F1167" s="21" t="s">
        <v>54</v>
      </c>
      <c r="G1167" s="21" t="s">
        <v>72</v>
      </c>
      <c r="H1167" s="21" t="s">
        <v>73</v>
      </c>
      <c r="I1167" s="21" t="s">
        <v>90</v>
      </c>
      <c r="J1167" s="68">
        <f>+MONTH(ExpenseTable[[#This Row],[Voucher Date]])</f>
        <v>11</v>
      </c>
      <c r="K1167" s="13" t="s">
        <v>108</v>
      </c>
    </row>
    <row r="1168" spans="1:11" x14ac:dyDescent="0.35">
      <c r="A1168" s="15">
        <v>45965</v>
      </c>
      <c r="B1168" s="11" t="s">
        <v>1232</v>
      </c>
      <c r="C1168" s="19">
        <v>45971</v>
      </c>
      <c r="D1168" s="13" t="s">
        <v>1235</v>
      </c>
      <c r="E1168" s="12">
        <v>40000</v>
      </c>
      <c r="F1168" s="21" t="s">
        <v>54</v>
      </c>
      <c r="G1168" s="21" t="s">
        <v>72</v>
      </c>
      <c r="H1168" s="21" t="s">
        <v>73</v>
      </c>
      <c r="I1168" s="21" t="s">
        <v>90</v>
      </c>
      <c r="J1168" s="68">
        <f>+MONTH(ExpenseTable[[#This Row],[Voucher Date]])</f>
        <v>11</v>
      </c>
      <c r="K1168" s="13" t="s">
        <v>108</v>
      </c>
    </row>
    <row r="1169" spans="1:11" x14ac:dyDescent="0.35">
      <c r="A1169" s="15">
        <v>45965</v>
      </c>
      <c r="B1169" s="11" t="s">
        <v>1232</v>
      </c>
      <c r="C1169" s="19">
        <v>45971</v>
      </c>
      <c r="D1169" s="13" t="s">
        <v>1239</v>
      </c>
      <c r="E1169" s="12">
        <v>192000</v>
      </c>
      <c r="F1169" s="21" t="s">
        <v>54</v>
      </c>
      <c r="G1169" s="21" t="s">
        <v>72</v>
      </c>
      <c r="H1169" s="21" t="s">
        <v>73</v>
      </c>
      <c r="I1169" s="21" t="s">
        <v>90</v>
      </c>
      <c r="J1169" s="68">
        <f>+MONTH(ExpenseTable[[#This Row],[Voucher Date]])</f>
        <v>11</v>
      </c>
      <c r="K1169" s="13" t="s">
        <v>108</v>
      </c>
    </row>
    <row r="1170" spans="1:11" x14ac:dyDescent="0.35">
      <c r="A1170" s="15">
        <v>45965</v>
      </c>
      <c r="B1170" s="11" t="s">
        <v>1232</v>
      </c>
      <c r="C1170" s="19">
        <v>45971</v>
      </c>
      <c r="D1170" s="13" t="s">
        <v>1238</v>
      </c>
      <c r="E1170" s="12">
        <v>200000</v>
      </c>
      <c r="F1170" s="21" t="s">
        <v>54</v>
      </c>
      <c r="G1170" s="21" t="s">
        <v>72</v>
      </c>
      <c r="H1170" s="21" t="s">
        <v>73</v>
      </c>
      <c r="I1170" s="21" t="s">
        <v>90</v>
      </c>
      <c r="J1170" s="68">
        <f>+MONTH(ExpenseTable[[#This Row],[Voucher Date]])</f>
        <v>11</v>
      </c>
      <c r="K1170" s="13" t="s">
        <v>108</v>
      </c>
    </row>
    <row r="1171" spans="1:11" x14ac:dyDescent="0.35">
      <c r="A1171" s="15">
        <v>45966</v>
      </c>
      <c r="B1171" s="11" t="s">
        <v>1232</v>
      </c>
      <c r="C1171" s="19">
        <v>45971</v>
      </c>
      <c r="D1171" s="13" t="s">
        <v>1233</v>
      </c>
      <c r="E1171" s="12">
        <v>220000</v>
      </c>
      <c r="F1171" s="21" t="s">
        <v>54</v>
      </c>
      <c r="G1171" s="21" t="s">
        <v>72</v>
      </c>
      <c r="H1171" s="21" t="s">
        <v>73</v>
      </c>
      <c r="I1171" s="21" t="s">
        <v>90</v>
      </c>
      <c r="J1171" s="68">
        <f>+MONTH(ExpenseTable[[#This Row],[Voucher Date]])</f>
        <v>11</v>
      </c>
      <c r="K1171" s="13" t="s">
        <v>108</v>
      </c>
    </row>
    <row r="1172" spans="1:11" x14ac:dyDescent="0.35">
      <c r="A1172" s="15">
        <v>45963</v>
      </c>
      <c r="B1172" s="11" t="s">
        <v>1155</v>
      </c>
      <c r="C1172" s="19">
        <v>45972</v>
      </c>
      <c r="D1172" s="13" t="s">
        <v>1157</v>
      </c>
      <c r="E1172" s="12">
        <v>2000</v>
      </c>
      <c r="F1172" s="21" t="s">
        <v>22</v>
      </c>
      <c r="G1172" s="21" t="s">
        <v>72</v>
      </c>
      <c r="H1172" s="21" t="s">
        <v>73</v>
      </c>
      <c r="I1172" s="21" t="s">
        <v>90</v>
      </c>
      <c r="J1172" s="68">
        <f>+MONTH(ExpenseTable[[#This Row],[Voucher Date]])</f>
        <v>11</v>
      </c>
      <c r="K1172" s="13" t="s">
        <v>108</v>
      </c>
    </row>
    <row r="1173" spans="1:11" x14ac:dyDescent="0.35">
      <c r="A1173" s="15">
        <v>45964</v>
      </c>
      <c r="B1173" s="11" t="s">
        <v>1155</v>
      </c>
      <c r="C1173" s="19">
        <v>45972</v>
      </c>
      <c r="D1173" s="13" t="s">
        <v>1160</v>
      </c>
      <c r="E1173" s="12">
        <v>3000</v>
      </c>
      <c r="F1173" s="21" t="s">
        <v>5</v>
      </c>
      <c r="G1173" s="21" t="s">
        <v>72</v>
      </c>
      <c r="H1173" s="21" t="s">
        <v>73</v>
      </c>
      <c r="I1173" s="21" t="s">
        <v>90</v>
      </c>
      <c r="J1173" s="68">
        <f>+MONTH(ExpenseTable[[#This Row],[Voucher Date]])</f>
        <v>11</v>
      </c>
      <c r="K1173" s="13" t="s">
        <v>108</v>
      </c>
    </row>
    <row r="1174" spans="1:11" x14ac:dyDescent="0.35">
      <c r="A1174" s="15">
        <v>45964</v>
      </c>
      <c r="B1174" s="11" t="s">
        <v>1155</v>
      </c>
      <c r="C1174" s="19">
        <v>45972</v>
      </c>
      <c r="D1174" s="13" t="s">
        <v>1159</v>
      </c>
      <c r="E1174" s="12">
        <v>7020</v>
      </c>
      <c r="F1174" s="21" t="s">
        <v>5</v>
      </c>
      <c r="G1174" s="21" t="s">
        <v>72</v>
      </c>
      <c r="H1174" s="21" t="s">
        <v>73</v>
      </c>
      <c r="I1174" s="21" t="s">
        <v>90</v>
      </c>
      <c r="J1174" s="68">
        <f>+MONTH(ExpenseTable[[#This Row],[Voucher Date]])</f>
        <v>11</v>
      </c>
      <c r="K1174" s="13" t="s">
        <v>108</v>
      </c>
    </row>
    <row r="1175" spans="1:11" x14ac:dyDescent="0.35">
      <c r="A1175" s="15">
        <v>45963</v>
      </c>
      <c r="B1175" s="11" t="s">
        <v>1155</v>
      </c>
      <c r="C1175" s="19">
        <v>45972</v>
      </c>
      <c r="D1175" s="13" t="s">
        <v>1156</v>
      </c>
      <c r="E1175" s="12">
        <v>10000</v>
      </c>
      <c r="F1175" s="21" t="s">
        <v>40</v>
      </c>
      <c r="G1175" s="21" t="s">
        <v>72</v>
      </c>
      <c r="H1175" s="21" t="s">
        <v>73</v>
      </c>
      <c r="I1175" s="21" t="s">
        <v>90</v>
      </c>
      <c r="J1175" s="68">
        <f>+MONTH(ExpenseTable[[#This Row],[Voucher Date]])</f>
        <v>11</v>
      </c>
      <c r="K1175" s="13" t="s">
        <v>108</v>
      </c>
    </row>
    <row r="1176" spans="1:11" x14ac:dyDescent="0.35">
      <c r="A1176" s="15">
        <v>45962</v>
      </c>
      <c r="B1176" s="11" t="s">
        <v>1155</v>
      </c>
      <c r="C1176" s="19">
        <v>45972</v>
      </c>
      <c r="D1176" s="13" t="s">
        <v>1158</v>
      </c>
      <c r="E1176" s="12">
        <v>11000</v>
      </c>
      <c r="F1176" s="21" t="s">
        <v>4</v>
      </c>
      <c r="G1176" s="21" t="s">
        <v>72</v>
      </c>
      <c r="H1176" s="21" t="s">
        <v>73</v>
      </c>
      <c r="I1176" s="21" t="s">
        <v>90</v>
      </c>
      <c r="J1176" s="68">
        <f>+MONTH(ExpenseTable[[#This Row],[Voucher Date]])</f>
        <v>11</v>
      </c>
      <c r="K1176" s="13" t="s">
        <v>108</v>
      </c>
    </row>
    <row r="1177" spans="1:11" x14ac:dyDescent="0.35">
      <c r="A1177" s="15">
        <v>45962</v>
      </c>
      <c r="B1177" s="11" t="s">
        <v>1155</v>
      </c>
      <c r="C1177" s="19">
        <v>45972</v>
      </c>
      <c r="D1177" s="13" t="s">
        <v>1144</v>
      </c>
      <c r="E1177" s="12">
        <v>12200</v>
      </c>
      <c r="F1177" s="21" t="s">
        <v>54</v>
      </c>
      <c r="G1177" s="21" t="s">
        <v>65</v>
      </c>
      <c r="H1177" s="21" t="s">
        <v>1101</v>
      </c>
      <c r="I1177" s="21" t="s">
        <v>90</v>
      </c>
      <c r="J1177" s="68">
        <f>+MONTH(ExpenseTable[[#This Row],[Voucher Date]])</f>
        <v>11</v>
      </c>
      <c r="K1177" s="13" t="s">
        <v>108</v>
      </c>
    </row>
    <row r="1178" spans="1:11" x14ac:dyDescent="0.35">
      <c r="A1178" s="15">
        <v>45964</v>
      </c>
      <c r="B1178" s="11" t="s">
        <v>1155</v>
      </c>
      <c r="C1178" s="19">
        <v>45972</v>
      </c>
      <c r="D1178" s="13" t="s">
        <v>1156</v>
      </c>
      <c r="E1178" s="12">
        <v>30000</v>
      </c>
      <c r="F1178" s="21" t="s">
        <v>40</v>
      </c>
      <c r="G1178" s="21" t="s">
        <v>72</v>
      </c>
      <c r="H1178" s="21" t="s">
        <v>73</v>
      </c>
      <c r="I1178" s="21" t="s">
        <v>90</v>
      </c>
      <c r="J1178" s="68">
        <f>+MONTH(ExpenseTable[[#This Row],[Voucher Date]])</f>
        <v>11</v>
      </c>
      <c r="K1178" s="13" t="s">
        <v>108</v>
      </c>
    </row>
    <row r="1179" spans="1:11" x14ac:dyDescent="0.35">
      <c r="A1179" s="15">
        <v>45965</v>
      </c>
      <c r="B1179" s="11" t="s">
        <v>1155</v>
      </c>
      <c r="C1179" s="19">
        <v>45972</v>
      </c>
      <c r="D1179" s="13" t="s">
        <v>1161</v>
      </c>
      <c r="E1179" s="12">
        <v>40000</v>
      </c>
      <c r="F1179" s="21" t="s">
        <v>40</v>
      </c>
      <c r="G1179" s="21" t="s">
        <v>72</v>
      </c>
      <c r="H1179" s="21" t="s">
        <v>73</v>
      </c>
      <c r="I1179" s="21" t="s">
        <v>90</v>
      </c>
      <c r="J1179" s="68">
        <f>+MONTH(ExpenseTable[[#This Row],[Voucher Date]])</f>
        <v>11</v>
      </c>
      <c r="K1179" s="13" t="s">
        <v>108</v>
      </c>
    </row>
    <row r="1180" spans="1:11" x14ac:dyDescent="0.35">
      <c r="A1180" s="15">
        <v>45981</v>
      </c>
      <c r="B1180" s="11" t="s">
        <v>1177</v>
      </c>
      <c r="C1180" s="19">
        <v>45973</v>
      </c>
      <c r="D1180" s="13" t="s">
        <v>1181</v>
      </c>
      <c r="E1180" s="12">
        <v>1000</v>
      </c>
      <c r="F1180" s="21" t="s">
        <v>5</v>
      </c>
      <c r="G1180" s="21" t="s">
        <v>72</v>
      </c>
      <c r="H1180" s="21" t="s">
        <v>73</v>
      </c>
      <c r="I1180" s="21" t="s">
        <v>90</v>
      </c>
      <c r="J1180" s="68">
        <f>+MONTH(ExpenseTable[[#This Row],[Voucher Date]])</f>
        <v>11</v>
      </c>
      <c r="K1180" s="13" t="s">
        <v>108</v>
      </c>
    </row>
    <row r="1181" spans="1:11" x14ac:dyDescent="0.35">
      <c r="A1181" s="15">
        <v>45981</v>
      </c>
      <c r="B1181" s="11" t="s">
        <v>1177</v>
      </c>
      <c r="C1181" s="19">
        <v>45973</v>
      </c>
      <c r="D1181" s="13" t="s">
        <v>1179</v>
      </c>
      <c r="E1181" s="12">
        <v>2500</v>
      </c>
      <c r="F1181" s="21" t="s">
        <v>5</v>
      </c>
      <c r="G1181" s="21" t="s">
        <v>72</v>
      </c>
      <c r="H1181" s="21" t="s">
        <v>73</v>
      </c>
      <c r="I1181" s="21" t="s">
        <v>90</v>
      </c>
      <c r="J1181" s="68">
        <f>+MONTH(ExpenseTable[[#This Row],[Voucher Date]])</f>
        <v>11</v>
      </c>
      <c r="K1181" s="13" t="s">
        <v>108</v>
      </c>
    </row>
    <row r="1182" spans="1:11" x14ac:dyDescent="0.35">
      <c r="A1182" s="15">
        <v>45981</v>
      </c>
      <c r="B1182" s="11" t="s">
        <v>1177</v>
      </c>
      <c r="C1182" s="19">
        <v>45973</v>
      </c>
      <c r="D1182" s="13" t="s">
        <v>1180</v>
      </c>
      <c r="E1182" s="12">
        <v>2500</v>
      </c>
      <c r="F1182" s="21" t="s">
        <v>55</v>
      </c>
      <c r="G1182" s="21" t="s">
        <v>72</v>
      </c>
      <c r="H1182" s="21" t="s">
        <v>73</v>
      </c>
      <c r="I1182" s="21" t="s">
        <v>90</v>
      </c>
      <c r="J1182" s="68">
        <f>+MONTH(ExpenseTable[[#This Row],[Voucher Date]])</f>
        <v>11</v>
      </c>
      <c r="K1182" s="13" t="s">
        <v>108</v>
      </c>
    </row>
    <row r="1183" spans="1:11" x14ac:dyDescent="0.35">
      <c r="A1183" s="15">
        <v>45981</v>
      </c>
      <c r="B1183" s="11" t="s">
        <v>1177</v>
      </c>
      <c r="C1183" s="19">
        <v>45973</v>
      </c>
      <c r="D1183" s="13" t="s">
        <v>1182</v>
      </c>
      <c r="E1183" s="12">
        <v>5000</v>
      </c>
      <c r="F1183" s="21" t="s">
        <v>5</v>
      </c>
      <c r="G1183" s="21" t="s">
        <v>72</v>
      </c>
      <c r="H1183" s="21" t="s">
        <v>73</v>
      </c>
      <c r="I1183" s="21" t="s">
        <v>90</v>
      </c>
      <c r="J1183" s="68">
        <f>+MONTH(ExpenseTable[[#This Row],[Voucher Date]])</f>
        <v>11</v>
      </c>
      <c r="K1183" s="13" t="s">
        <v>108</v>
      </c>
    </row>
    <row r="1184" spans="1:11" x14ac:dyDescent="0.35">
      <c r="A1184" s="15">
        <v>45981</v>
      </c>
      <c r="B1184" s="11" t="s">
        <v>1177</v>
      </c>
      <c r="C1184" s="19">
        <v>45973</v>
      </c>
      <c r="D1184" s="13" t="s">
        <v>1178</v>
      </c>
      <c r="E1184" s="12">
        <v>8500</v>
      </c>
      <c r="F1184" s="21" t="s">
        <v>5</v>
      </c>
      <c r="G1184" s="21" t="s">
        <v>72</v>
      </c>
      <c r="H1184" s="21" t="s">
        <v>73</v>
      </c>
      <c r="I1184" s="21" t="s">
        <v>90</v>
      </c>
      <c r="J1184" s="68">
        <f>+MONTH(ExpenseTable[[#This Row],[Voucher Date]])</f>
        <v>11</v>
      </c>
      <c r="K1184" s="13" t="s">
        <v>108</v>
      </c>
    </row>
    <row r="1185" spans="1:11" x14ac:dyDescent="0.35">
      <c r="A1185" s="15">
        <v>45974</v>
      </c>
      <c r="B1185" s="11" t="s">
        <v>1177</v>
      </c>
      <c r="C1185" s="19">
        <v>45973</v>
      </c>
      <c r="D1185" s="13" t="s">
        <v>206</v>
      </c>
      <c r="E1185" s="12">
        <v>10000</v>
      </c>
      <c r="F1185" s="21" t="s">
        <v>40</v>
      </c>
      <c r="G1185" s="21" t="s">
        <v>72</v>
      </c>
      <c r="H1185" s="21" t="s">
        <v>73</v>
      </c>
      <c r="I1185" s="21" t="s">
        <v>90</v>
      </c>
      <c r="J1185" s="68">
        <f>+MONTH(ExpenseTable[[#This Row],[Voucher Date]])</f>
        <v>11</v>
      </c>
      <c r="K1185" s="13" t="s">
        <v>108</v>
      </c>
    </row>
    <row r="1186" spans="1:11" x14ac:dyDescent="0.35">
      <c r="A1186" s="15">
        <v>45982</v>
      </c>
      <c r="B1186" s="11" t="s">
        <v>1177</v>
      </c>
      <c r="C1186" s="19">
        <v>45973</v>
      </c>
      <c r="D1186" s="13" t="s">
        <v>1183</v>
      </c>
      <c r="E1186" s="12">
        <v>12000</v>
      </c>
      <c r="F1186" s="21" t="s">
        <v>5</v>
      </c>
      <c r="G1186" s="21" t="s">
        <v>72</v>
      </c>
      <c r="H1186" s="21" t="s">
        <v>73</v>
      </c>
      <c r="I1186" s="21" t="s">
        <v>90</v>
      </c>
      <c r="J1186" s="68">
        <f>+MONTH(ExpenseTable[[#This Row],[Voucher Date]])</f>
        <v>11</v>
      </c>
      <c r="K1186" s="13" t="s">
        <v>108</v>
      </c>
    </row>
    <row r="1187" spans="1:11" x14ac:dyDescent="0.35">
      <c r="A1187" s="15">
        <v>45973</v>
      </c>
      <c r="B1187" s="11" t="s">
        <v>1177</v>
      </c>
      <c r="C1187" s="19">
        <v>45973</v>
      </c>
      <c r="D1187" s="13" t="s">
        <v>1185</v>
      </c>
      <c r="E1187" s="12">
        <v>108000</v>
      </c>
      <c r="F1187" s="21" t="s">
        <v>5</v>
      </c>
      <c r="G1187" s="21" t="s">
        <v>72</v>
      </c>
      <c r="H1187" s="21" t="s">
        <v>73</v>
      </c>
      <c r="I1187" s="21" t="s">
        <v>90</v>
      </c>
      <c r="J1187" s="68">
        <f>+MONTH(ExpenseTable[[#This Row],[Voucher Date]])</f>
        <v>11</v>
      </c>
      <c r="K1187" s="13" t="s">
        <v>108</v>
      </c>
    </row>
    <row r="1188" spans="1:11" x14ac:dyDescent="0.35">
      <c r="A1188" s="15">
        <v>45973</v>
      </c>
      <c r="B1188" s="11" t="s">
        <v>1186</v>
      </c>
      <c r="C1188" s="19">
        <v>45973</v>
      </c>
      <c r="D1188" s="13" t="s">
        <v>1188</v>
      </c>
      <c r="E1188" s="12">
        <v>1000</v>
      </c>
      <c r="F1188" s="21" t="s">
        <v>4</v>
      </c>
      <c r="G1188" s="21" t="s">
        <v>72</v>
      </c>
      <c r="H1188" s="21" t="s">
        <v>73</v>
      </c>
      <c r="I1188" s="21" t="s">
        <v>90</v>
      </c>
      <c r="J1188" s="68">
        <f>+MONTH(ExpenseTable[[#This Row],[Voucher Date]])</f>
        <v>11</v>
      </c>
      <c r="K1188" s="13" t="s">
        <v>108</v>
      </c>
    </row>
    <row r="1189" spans="1:11" x14ac:dyDescent="0.35">
      <c r="A1189" s="15">
        <v>45973</v>
      </c>
      <c r="B1189" s="11" t="s">
        <v>1186</v>
      </c>
      <c r="C1189" s="19">
        <v>45973</v>
      </c>
      <c r="D1189" s="13" t="s">
        <v>1189</v>
      </c>
      <c r="E1189" s="12">
        <v>3000</v>
      </c>
      <c r="F1189" s="21" t="s">
        <v>54</v>
      </c>
      <c r="G1189" s="21" t="s">
        <v>72</v>
      </c>
      <c r="H1189" s="21" t="s">
        <v>73</v>
      </c>
      <c r="I1189" s="21" t="s">
        <v>90</v>
      </c>
      <c r="J1189" s="68">
        <f>+MONTH(ExpenseTable[[#This Row],[Voucher Date]])</f>
        <v>11</v>
      </c>
      <c r="K1189" s="13" t="s">
        <v>108</v>
      </c>
    </row>
    <row r="1190" spans="1:11" x14ac:dyDescent="0.35">
      <c r="A1190" s="15">
        <v>45973</v>
      </c>
      <c r="B1190" s="11" t="s">
        <v>1186</v>
      </c>
      <c r="C1190" s="19">
        <v>45973</v>
      </c>
      <c r="D1190" s="13" t="s">
        <v>1190</v>
      </c>
      <c r="E1190" s="12">
        <v>3000</v>
      </c>
      <c r="F1190" s="21" t="s">
        <v>5</v>
      </c>
      <c r="G1190" s="21" t="s">
        <v>72</v>
      </c>
      <c r="H1190" s="21" t="s">
        <v>73</v>
      </c>
      <c r="I1190" s="21" t="s">
        <v>90</v>
      </c>
      <c r="J1190" s="68">
        <f>+MONTH(ExpenseTable[[#This Row],[Voucher Date]])</f>
        <v>11</v>
      </c>
      <c r="K1190" s="13" t="s">
        <v>108</v>
      </c>
    </row>
    <row r="1191" spans="1:11" x14ac:dyDescent="0.35">
      <c r="A1191" s="15">
        <v>45974</v>
      </c>
      <c r="B1191" s="11" t="s">
        <v>1186</v>
      </c>
      <c r="C1191" s="19">
        <v>45973</v>
      </c>
      <c r="D1191" s="13" t="s">
        <v>1193</v>
      </c>
      <c r="E1191" s="12">
        <v>14200</v>
      </c>
      <c r="F1191" s="21" t="s">
        <v>54</v>
      </c>
      <c r="G1191" s="21" t="s">
        <v>72</v>
      </c>
      <c r="H1191" s="21" t="s">
        <v>73</v>
      </c>
      <c r="I1191" s="21" t="s">
        <v>90</v>
      </c>
      <c r="J1191" s="68">
        <f>+MONTH(ExpenseTable[[#This Row],[Voucher Date]])</f>
        <v>11</v>
      </c>
      <c r="K1191" s="13" t="s">
        <v>108</v>
      </c>
    </row>
    <row r="1192" spans="1:11" x14ac:dyDescent="0.35">
      <c r="A1192" s="15">
        <v>45973</v>
      </c>
      <c r="B1192" s="11" t="s">
        <v>1186</v>
      </c>
      <c r="C1192" s="19">
        <v>45973</v>
      </c>
      <c r="D1192" s="13" t="s">
        <v>1192</v>
      </c>
      <c r="E1192" s="12">
        <v>17500</v>
      </c>
      <c r="F1192" s="21" t="s">
        <v>22</v>
      </c>
      <c r="G1192" s="21" t="s">
        <v>72</v>
      </c>
      <c r="H1192" s="21" t="s">
        <v>73</v>
      </c>
      <c r="I1192" s="21" t="s">
        <v>90</v>
      </c>
      <c r="J1192" s="68">
        <f>+MONTH(ExpenseTable[[#This Row],[Voucher Date]])</f>
        <v>11</v>
      </c>
      <c r="K1192" s="13" t="s">
        <v>108</v>
      </c>
    </row>
    <row r="1193" spans="1:11" x14ac:dyDescent="0.35">
      <c r="A1193" s="15">
        <v>45973</v>
      </c>
      <c r="B1193" s="11" t="s">
        <v>1186</v>
      </c>
      <c r="C1193" s="19">
        <v>45973</v>
      </c>
      <c r="D1193" s="13" t="s">
        <v>1187</v>
      </c>
      <c r="E1193" s="12">
        <v>30000</v>
      </c>
      <c r="F1193" s="21" t="s">
        <v>4</v>
      </c>
      <c r="G1193" s="21" t="s">
        <v>72</v>
      </c>
      <c r="H1193" s="21" t="s">
        <v>73</v>
      </c>
      <c r="I1193" s="21" t="s">
        <v>90</v>
      </c>
      <c r="J1193" s="68">
        <f>+MONTH(ExpenseTable[[#This Row],[Voucher Date]])</f>
        <v>11</v>
      </c>
      <c r="K1193" s="13" t="s">
        <v>108</v>
      </c>
    </row>
    <row r="1194" spans="1:11" x14ac:dyDescent="0.35">
      <c r="A1194" s="15">
        <v>45973</v>
      </c>
      <c r="B1194" s="11" t="s">
        <v>1186</v>
      </c>
      <c r="C1194" s="19">
        <v>45973</v>
      </c>
      <c r="D1194" s="13" t="s">
        <v>630</v>
      </c>
      <c r="E1194" s="12">
        <v>30000</v>
      </c>
      <c r="F1194" s="21" t="s">
        <v>40</v>
      </c>
      <c r="G1194" s="21" t="s">
        <v>72</v>
      </c>
      <c r="H1194" s="21" t="s">
        <v>73</v>
      </c>
      <c r="I1194" s="21" t="s">
        <v>90</v>
      </c>
      <c r="J1194" s="68">
        <f>+MONTH(ExpenseTable[[#This Row],[Voucher Date]])</f>
        <v>11</v>
      </c>
      <c r="K1194" s="13" t="s">
        <v>108</v>
      </c>
    </row>
    <row r="1195" spans="1:11" x14ac:dyDescent="0.35">
      <c r="A1195" s="15">
        <v>45973</v>
      </c>
      <c r="B1195" s="11" t="s">
        <v>1186</v>
      </c>
      <c r="C1195" s="19">
        <v>45973</v>
      </c>
      <c r="D1195" s="13" t="s">
        <v>1191</v>
      </c>
      <c r="E1195" s="12">
        <v>120000</v>
      </c>
      <c r="F1195" s="21" t="s">
        <v>5</v>
      </c>
      <c r="G1195" s="21" t="s">
        <v>72</v>
      </c>
      <c r="H1195" s="21" t="s">
        <v>73</v>
      </c>
      <c r="I1195" s="21" t="s">
        <v>90</v>
      </c>
      <c r="J1195" s="68">
        <f>+MONTH(ExpenseTable[[#This Row],[Voucher Date]])</f>
        <v>11</v>
      </c>
      <c r="K1195" s="13" t="s">
        <v>108</v>
      </c>
    </row>
    <row r="1196" spans="1:11" x14ac:dyDescent="0.35">
      <c r="A1196" s="15">
        <v>45980</v>
      </c>
      <c r="B1196" s="11" t="s">
        <v>1194</v>
      </c>
      <c r="C1196" s="19">
        <v>45980</v>
      </c>
      <c r="D1196" s="13" t="s">
        <v>1197</v>
      </c>
      <c r="E1196" s="12">
        <v>500</v>
      </c>
      <c r="F1196" s="21" t="s">
        <v>5</v>
      </c>
      <c r="G1196" s="21" t="s">
        <v>72</v>
      </c>
      <c r="H1196" s="21" t="s">
        <v>73</v>
      </c>
      <c r="I1196" s="21" t="s">
        <v>90</v>
      </c>
      <c r="J1196" s="68">
        <f>+MONTH(ExpenseTable[[#This Row],[Voucher Date]])</f>
        <v>11</v>
      </c>
      <c r="K1196" s="13" t="s">
        <v>108</v>
      </c>
    </row>
    <row r="1197" spans="1:11" x14ac:dyDescent="0.35">
      <c r="A1197" s="15">
        <v>45980</v>
      </c>
      <c r="B1197" s="11" t="s">
        <v>1194</v>
      </c>
      <c r="C1197" s="19">
        <v>45980</v>
      </c>
      <c r="D1197" s="13" t="s">
        <v>1196</v>
      </c>
      <c r="E1197" s="12">
        <v>1500</v>
      </c>
      <c r="F1197" s="21" t="s">
        <v>5</v>
      </c>
      <c r="G1197" s="21" t="s">
        <v>72</v>
      </c>
      <c r="H1197" s="21" t="s">
        <v>73</v>
      </c>
      <c r="I1197" s="21" t="s">
        <v>90</v>
      </c>
      <c r="J1197" s="68">
        <f>+MONTH(ExpenseTable[[#This Row],[Voucher Date]])</f>
        <v>11</v>
      </c>
      <c r="K1197" s="13" t="s">
        <v>108</v>
      </c>
    </row>
    <row r="1198" spans="1:11" x14ac:dyDescent="0.35">
      <c r="A1198" s="15">
        <v>45986</v>
      </c>
      <c r="B1198" s="11" t="s">
        <v>1194</v>
      </c>
      <c r="C1198" s="19">
        <v>45980</v>
      </c>
      <c r="D1198" s="13" t="s">
        <v>1202</v>
      </c>
      <c r="E1198" s="12">
        <v>3000</v>
      </c>
      <c r="F1198" s="21" t="s">
        <v>21</v>
      </c>
      <c r="G1198" s="21" t="s">
        <v>72</v>
      </c>
      <c r="H1198" s="21" t="s">
        <v>73</v>
      </c>
      <c r="I1198" s="21" t="s">
        <v>90</v>
      </c>
      <c r="J1198" s="68">
        <f>+MONTH(ExpenseTable[[#This Row],[Voucher Date]])</f>
        <v>11</v>
      </c>
      <c r="K1198" s="13" t="s">
        <v>108</v>
      </c>
    </row>
    <row r="1199" spans="1:11" x14ac:dyDescent="0.35">
      <c r="A1199" s="15">
        <v>45980</v>
      </c>
      <c r="B1199" s="11" t="s">
        <v>1194</v>
      </c>
      <c r="C1199" s="19">
        <v>45980</v>
      </c>
      <c r="D1199" s="13" t="s">
        <v>1195</v>
      </c>
      <c r="E1199" s="12">
        <v>8500</v>
      </c>
      <c r="F1199" s="21" t="s">
        <v>5</v>
      </c>
      <c r="G1199" s="21" t="s">
        <v>72</v>
      </c>
      <c r="H1199" s="21" t="s">
        <v>73</v>
      </c>
      <c r="I1199" s="21" t="s">
        <v>90</v>
      </c>
      <c r="J1199" s="68">
        <f>+MONTH(ExpenseTable[[#This Row],[Voucher Date]])</f>
        <v>11</v>
      </c>
      <c r="K1199" s="13" t="s">
        <v>108</v>
      </c>
    </row>
    <row r="1200" spans="1:11" x14ac:dyDescent="0.35">
      <c r="A1200" s="15">
        <v>45986</v>
      </c>
      <c r="B1200" s="11" t="s">
        <v>1194</v>
      </c>
      <c r="C1200" s="19">
        <v>45980</v>
      </c>
      <c r="D1200" s="13" t="s">
        <v>1201</v>
      </c>
      <c r="E1200" s="12">
        <v>9600</v>
      </c>
      <c r="F1200" s="21" t="s">
        <v>5</v>
      </c>
      <c r="G1200" s="21" t="s">
        <v>72</v>
      </c>
      <c r="H1200" s="21" t="s">
        <v>73</v>
      </c>
      <c r="I1200" s="21" t="s">
        <v>90</v>
      </c>
      <c r="J1200" s="68">
        <f>+MONTH(ExpenseTable[[#This Row],[Voucher Date]])</f>
        <v>11</v>
      </c>
      <c r="K1200" s="13" t="s">
        <v>108</v>
      </c>
    </row>
    <row r="1201" spans="1:11" x14ac:dyDescent="0.35">
      <c r="A1201" s="15">
        <v>45986</v>
      </c>
      <c r="B1201" s="11" t="s">
        <v>1194</v>
      </c>
      <c r="C1201" s="19">
        <v>45980</v>
      </c>
      <c r="D1201" s="13" t="s">
        <v>1200</v>
      </c>
      <c r="E1201" s="12">
        <v>11000</v>
      </c>
      <c r="F1201" s="21" t="s">
        <v>27</v>
      </c>
      <c r="G1201" s="21" t="s">
        <v>72</v>
      </c>
      <c r="H1201" s="21" t="s">
        <v>73</v>
      </c>
      <c r="I1201" s="21" t="s">
        <v>90</v>
      </c>
      <c r="J1201" s="68">
        <f>+MONTH(ExpenseTable[[#This Row],[Voucher Date]])</f>
        <v>11</v>
      </c>
      <c r="K1201" s="13" t="s">
        <v>108</v>
      </c>
    </row>
    <row r="1202" spans="1:11" x14ac:dyDescent="0.35">
      <c r="A1202" s="15">
        <v>45985</v>
      </c>
      <c r="B1202" s="11" t="s">
        <v>1194</v>
      </c>
      <c r="C1202" s="19">
        <v>45980</v>
      </c>
      <c r="D1202" s="13" t="s">
        <v>1199</v>
      </c>
      <c r="E1202" s="12">
        <v>12200</v>
      </c>
      <c r="F1202" s="21" t="s">
        <v>54</v>
      </c>
      <c r="G1202" s="21" t="s">
        <v>72</v>
      </c>
      <c r="H1202" s="21" t="s">
        <v>73</v>
      </c>
      <c r="I1202" s="21" t="s">
        <v>90</v>
      </c>
      <c r="J1202" s="68">
        <f>+MONTH(ExpenseTable[[#This Row],[Voucher Date]])</f>
        <v>11</v>
      </c>
      <c r="K1202" s="13" t="s">
        <v>108</v>
      </c>
    </row>
    <row r="1203" spans="1:11" x14ac:dyDescent="0.35">
      <c r="A1203" s="15">
        <v>45983</v>
      </c>
      <c r="B1203" s="11" t="s">
        <v>1194</v>
      </c>
      <c r="C1203" s="19">
        <v>45980</v>
      </c>
      <c r="D1203" s="13" t="s">
        <v>1198</v>
      </c>
      <c r="E1203" s="12">
        <v>25000</v>
      </c>
      <c r="F1203" s="21" t="s">
        <v>5</v>
      </c>
      <c r="G1203" s="21" t="s">
        <v>72</v>
      </c>
      <c r="H1203" s="21" t="s">
        <v>73</v>
      </c>
      <c r="I1203" s="21" t="s">
        <v>90</v>
      </c>
      <c r="J1203" s="68">
        <f>+MONTH(ExpenseTable[[#This Row],[Voucher Date]])</f>
        <v>11</v>
      </c>
      <c r="K1203" s="13" t="s">
        <v>108</v>
      </c>
    </row>
    <row r="1204" spans="1:11" x14ac:dyDescent="0.35">
      <c r="A1204" s="15">
        <v>45988</v>
      </c>
      <c r="B1204" s="11" t="s">
        <v>1217</v>
      </c>
      <c r="C1204" s="19">
        <v>45987</v>
      </c>
      <c r="D1204" s="13" t="s">
        <v>1223</v>
      </c>
      <c r="E1204" s="12">
        <v>2500</v>
      </c>
      <c r="F1204" s="21" t="s">
        <v>19</v>
      </c>
      <c r="G1204" s="21" t="s">
        <v>72</v>
      </c>
      <c r="H1204" s="21" t="s">
        <v>73</v>
      </c>
      <c r="I1204" s="21" t="s">
        <v>90</v>
      </c>
      <c r="J1204" s="68">
        <f>+MONTH(ExpenseTable[[#This Row],[Voucher Date]])</f>
        <v>11</v>
      </c>
      <c r="K1204" s="13" t="s">
        <v>1154</v>
      </c>
    </row>
    <row r="1205" spans="1:11" x14ac:dyDescent="0.35">
      <c r="A1205" s="15">
        <v>45988</v>
      </c>
      <c r="B1205" s="11" t="s">
        <v>1217</v>
      </c>
      <c r="C1205" s="19">
        <v>45987</v>
      </c>
      <c r="D1205" s="13" t="s">
        <v>1220</v>
      </c>
      <c r="E1205" s="12">
        <v>10000</v>
      </c>
      <c r="F1205" s="21" t="s">
        <v>5</v>
      </c>
      <c r="G1205" s="21" t="s">
        <v>72</v>
      </c>
      <c r="H1205" s="21" t="s">
        <v>73</v>
      </c>
      <c r="I1205" s="21" t="s">
        <v>90</v>
      </c>
      <c r="J1205" s="68">
        <f>+MONTH(ExpenseTable[[#This Row],[Voucher Date]])</f>
        <v>11</v>
      </c>
      <c r="K1205" s="13" t="s">
        <v>1154</v>
      </c>
    </row>
    <row r="1206" spans="1:11" x14ac:dyDescent="0.35">
      <c r="A1206" s="15">
        <v>45988</v>
      </c>
      <c r="B1206" s="11" t="s">
        <v>1217</v>
      </c>
      <c r="C1206" s="19">
        <v>45987</v>
      </c>
      <c r="D1206" s="13" t="s">
        <v>1222</v>
      </c>
      <c r="E1206" s="12">
        <v>10000</v>
      </c>
      <c r="F1206" s="21" t="s">
        <v>19</v>
      </c>
      <c r="G1206" s="21" t="s">
        <v>72</v>
      </c>
      <c r="H1206" s="21" t="s">
        <v>73</v>
      </c>
      <c r="I1206" s="21" t="s">
        <v>90</v>
      </c>
      <c r="J1206" s="68">
        <f>+MONTH(ExpenseTable[[#This Row],[Voucher Date]])</f>
        <v>11</v>
      </c>
      <c r="K1206" s="13" t="s">
        <v>1154</v>
      </c>
    </row>
    <row r="1207" spans="1:11" x14ac:dyDescent="0.35">
      <c r="A1207" s="15">
        <v>45989</v>
      </c>
      <c r="B1207" s="11" t="s">
        <v>1217</v>
      </c>
      <c r="C1207" s="19">
        <v>45987</v>
      </c>
      <c r="D1207" s="13" t="s">
        <v>1224</v>
      </c>
      <c r="E1207" s="12">
        <v>53000</v>
      </c>
      <c r="F1207" s="21" t="s">
        <v>1225</v>
      </c>
      <c r="G1207" s="21" t="s">
        <v>72</v>
      </c>
      <c r="H1207" s="21" t="s">
        <v>73</v>
      </c>
      <c r="I1207" s="21" t="s">
        <v>90</v>
      </c>
      <c r="J1207" s="68">
        <f>+MONTH(ExpenseTable[[#This Row],[Voucher Date]])</f>
        <v>11</v>
      </c>
      <c r="K1207" s="13" t="s">
        <v>1154</v>
      </c>
    </row>
    <row r="1208" spans="1:11" x14ac:dyDescent="0.35">
      <c r="A1208" s="15">
        <v>45987</v>
      </c>
      <c r="B1208" s="11" t="s">
        <v>1217</v>
      </c>
      <c r="C1208" s="19">
        <v>45987</v>
      </c>
      <c r="D1208" s="13" t="s">
        <v>1218</v>
      </c>
      <c r="E1208" s="12">
        <v>82500</v>
      </c>
      <c r="F1208" s="21" t="s">
        <v>22</v>
      </c>
      <c r="G1208" s="21" t="s">
        <v>72</v>
      </c>
      <c r="H1208" s="21" t="s">
        <v>73</v>
      </c>
      <c r="I1208" s="21" t="s">
        <v>90</v>
      </c>
      <c r="J1208" s="68">
        <f>+MONTH(ExpenseTable[[#This Row],[Voucher Date]])</f>
        <v>11</v>
      </c>
      <c r="K1208" s="13" t="s">
        <v>1154</v>
      </c>
    </row>
    <row r="1209" spans="1:11" x14ac:dyDescent="0.35">
      <c r="A1209" s="15">
        <v>45987</v>
      </c>
      <c r="B1209" s="11" t="s">
        <v>1217</v>
      </c>
      <c r="C1209" s="19">
        <v>45987</v>
      </c>
      <c r="D1209" s="13" t="s">
        <v>1218</v>
      </c>
      <c r="E1209" s="12">
        <v>82500</v>
      </c>
      <c r="F1209" s="21" t="s">
        <v>22</v>
      </c>
      <c r="G1209" s="21" t="s">
        <v>72</v>
      </c>
      <c r="H1209" s="21" t="s">
        <v>73</v>
      </c>
      <c r="I1209" s="21" t="s">
        <v>90</v>
      </c>
      <c r="J1209" s="68">
        <f>+MONTH(ExpenseTable[[#This Row],[Voucher Date]])</f>
        <v>11</v>
      </c>
      <c r="K1209" s="13" t="s">
        <v>1154</v>
      </c>
    </row>
    <row r="1210" spans="1:11" x14ac:dyDescent="0.35">
      <c r="A1210" s="15">
        <v>45988</v>
      </c>
      <c r="B1210" s="11" t="s">
        <v>1217</v>
      </c>
      <c r="C1210" s="19">
        <v>45987</v>
      </c>
      <c r="D1210" s="13" t="s">
        <v>1221</v>
      </c>
      <c r="E1210" s="12">
        <v>96050</v>
      </c>
      <c r="F1210" s="21" t="s">
        <v>20</v>
      </c>
      <c r="G1210" s="21" t="s">
        <v>72</v>
      </c>
      <c r="H1210" s="21" t="s">
        <v>73</v>
      </c>
      <c r="I1210" s="21" t="s">
        <v>90</v>
      </c>
      <c r="J1210" s="68">
        <f>+MONTH(ExpenseTable[[#This Row],[Voucher Date]])</f>
        <v>11</v>
      </c>
      <c r="K1210" s="13" t="s">
        <v>1154</v>
      </c>
    </row>
    <row r="1211" spans="1:11" x14ac:dyDescent="0.35">
      <c r="A1211" s="15">
        <v>45988</v>
      </c>
      <c r="B1211" s="11" t="s">
        <v>1217</v>
      </c>
      <c r="C1211" s="19">
        <v>45987</v>
      </c>
      <c r="D1211" s="13" t="s">
        <v>1219</v>
      </c>
      <c r="E1211" s="12">
        <v>100000</v>
      </c>
      <c r="F1211" s="21" t="s">
        <v>46</v>
      </c>
      <c r="G1211" s="21" t="s">
        <v>67</v>
      </c>
      <c r="H1211" s="21" t="s">
        <v>79</v>
      </c>
      <c r="I1211" s="21" t="s">
        <v>90</v>
      </c>
      <c r="J1211" s="68">
        <f>+MONTH(ExpenseTable[[#This Row],[Voucher Date]])</f>
        <v>11</v>
      </c>
      <c r="K1211" s="13" t="s">
        <v>1154</v>
      </c>
    </row>
    <row r="1212" spans="1:11" x14ac:dyDescent="0.35">
      <c r="A1212" s="15">
        <v>45989</v>
      </c>
      <c r="B1212" s="11" t="s">
        <v>1226</v>
      </c>
      <c r="C1212" s="19">
        <v>45989</v>
      </c>
      <c r="D1212" s="13" t="s">
        <v>1227</v>
      </c>
      <c r="E1212" s="12">
        <v>10000</v>
      </c>
      <c r="F1212" s="21" t="s">
        <v>30</v>
      </c>
      <c r="G1212" s="21" t="s">
        <v>72</v>
      </c>
      <c r="H1212" s="21" t="s">
        <v>73</v>
      </c>
      <c r="I1212" s="21" t="s">
        <v>90</v>
      </c>
      <c r="J1212" s="68">
        <f>+MONTH(ExpenseTable[[#This Row],[Voucher Date]])</f>
        <v>11</v>
      </c>
      <c r="K1212" s="13" t="s">
        <v>1154</v>
      </c>
    </row>
    <row r="1213" spans="1:11" x14ac:dyDescent="0.35">
      <c r="A1213" s="15">
        <v>45989</v>
      </c>
      <c r="B1213" s="11" t="s">
        <v>1226</v>
      </c>
      <c r="C1213" s="19">
        <v>45989</v>
      </c>
      <c r="D1213" s="13" t="s">
        <v>1229</v>
      </c>
      <c r="E1213" s="12">
        <v>24000</v>
      </c>
      <c r="F1213" s="21" t="s">
        <v>20</v>
      </c>
      <c r="G1213" s="21" t="s">
        <v>72</v>
      </c>
      <c r="H1213" s="21" t="s">
        <v>73</v>
      </c>
      <c r="I1213" s="21" t="s">
        <v>90</v>
      </c>
      <c r="J1213" s="68">
        <f>+MONTH(ExpenseTable[[#This Row],[Voucher Date]])</f>
        <v>11</v>
      </c>
      <c r="K1213" s="13" t="s">
        <v>1154</v>
      </c>
    </row>
    <row r="1214" spans="1:11" x14ac:dyDescent="0.35">
      <c r="A1214" s="15">
        <v>45989</v>
      </c>
      <c r="B1214" s="11" t="s">
        <v>1226</v>
      </c>
      <c r="C1214" s="19">
        <v>45989</v>
      </c>
      <c r="D1214" s="13" t="s">
        <v>1230</v>
      </c>
      <c r="E1214" s="12">
        <v>42500</v>
      </c>
      <c r="F1214" s="21" t="s">
        <v>29</v>
      </c>
      <c r="G1214" s="21" t="s">
        <v>72</v>
      </c>
      <c r="H1214" s="21" t="s">
        <v>73</v>
      </c>
      <c r="I1214" s="21" t="s">
        <v>90</v>
      </c>
      <c r="J1214" s="68">
        <f>+MONTH(ExpenseTable[[#This Row],[Voucher Date]])</f>
        <v>11</v>
      </c>
      <c r="K1214" s="13" t="s">
        <v>1154</v>
      </c>
    </row>
    <row r="1215" spans="1:11" x14ac:dyDescent="0.35">
      <c r="A1215" s="15">
        <v>45989</v>
      </c>
      <c r="B1215" s="11" t="s">
        <v>1226</v>
      </c>
      <c r="C1215" s="19">
        <v>45989</v>
      </c>
      <c r="D1215" s="13" t="s">
        <v>1228</v>
      </c>
      <c r="E1215" s="12">
        <v>80000</v>
      </c>
      <c r="F1215" s="21" t="s">
        <v>20</v>
      </c>
      <c r="G1215" s="21" t="s">
        <v>72</v>
      </c>
      <c r="H1215" s="21" t="s">
        <v>73</v>
      </c>
      <c r="I1215" s="21" t="s">
        <v>90</v>
      </c>
      <c r="J1215" s="68">
        <f>+MONTH(ExpenseTable[[#This Row],[Voucher Date]])</f>
        <v>11</v>
      </c>
      <c r="K1215" s="13" t="s">
        <v>1154</v>
      </c>
    </row>
    <row r="1216" spans="1:11" x14ac:dyDescent="0.35">
      <c r="A1216" s="15">
        <v>45989</v>
      </c>
      <c r="B1216" s="11" t="s">
        <v>1226</v>
      </c>
      <c r="C1216" s="19">
        <v>45989</v>
      </c>
      <c r="D1216" s="13" t="s">
        <v>1231</v>
      </c>
      <c r="E1216" s="12">
        <v>556400</v>
      </c>
      <c r="F1216" s="21" t="s">
        <v>20</v>
      </c>
      <c r="G1216" s="21" t="s">
        <v>72</v>
      </c>
      <c r="H1216" s="21" t="s">
        <v>73</v>
      </c>
      <c r="I1216" s="21" t="s">
        <v>90</v>
      </c>
      <c r="J1216" s="68">
        <f>+MONTH(ExpenseTable[[#This Row],[Voucher Date]])</f>
        <v>11</v>
      </c>
      <c r="K1216" s="13" t="s">
        <v>1154</v>
      </c>
    </row>
    <row r="1217" spans="1:11" x14ac:dyDescent="0.35">
      <c r="A1217" s="15">
        <v>45989</v>
      </c>
      <c r="B1217" s="11" t="s">
        <v>1268</v>
      </c>
      <c r="C1217" s="19">
        <v>45989</v>
      </c>
      <c r="D1217" s="13" t="s">
        <v>1273</v>
      </c>
      <c r="E1217" s="12">
        <v>30000</v>
      </c>
      <c r="F1217" s="21" t="s">
        <v>4</v>
      </c>
      <c r="G1217" s="21" t="s">
        <v>72</v>
      </c>
      <c r="H1217" s="21" t="s">
        <v>73</v>
      </c>
      <c r="I1217" s="21" t="s">
        <v>91</v>
      </c>
      <c r="J1217" s="68">
        <f>+MONTH(ExpenseTable[[#This Row],[Voucher Date]])</f>
        <v>11</v>
      </c>
      <c r="K1217" s="13" t="s">
        <v>1154</v>
      </c>
    </row>
    <row r="1218" spans="1:11" x14ac:dyDescent="0.35">
      <c r="A1218" s="15">
        <v>45989</v>
      </c>
      <c r="B1218" s="11" t="s">
        <v>1268</v>
      </c>
      <c r="C1218" s="19">
        <v>45989</v>
      </c>
      <c r="D1218" s="13" t="s">
        <v>1271</v>
      </c>
      <c r="E1218" s="12">
        <v>43269.24</v>
      </c>
      <c r="F1218" s="21" t="s">
        <v>54</v>
      </c>
      <c r="G1218" s="21" t="s">
        <v>72</v>
      </c>
      <c r="H1218" s="21" t="s">
        <v>73</v>
      </c>
      <c r="I1218" s="21" t="s">
        <v>91</v>
      </c>
      <c r="J1218" s="68">
        <f>+MONTH(ExpenseTable[[#This Row],[Voucher Date]])</f>
        <v>11</v>
      </c>
      <c r="K1218" s="13" t="s">
        <v>1154</v>
      </c>
    </row>
    <row r="1219" spans="1:11" x14ac:dyDescent="0.35">
      <c r="A1219" s="15">
        <v>45989</v>
      </c>
      <c r="B1219" s="11" t="s">
        <v>1268</v>
      </c>
      <c r="C1219" s="19">
        <v>45989</v>
      </c>
      <c r="D1219" s="13" t="s">
        <v>1272</v>
      </c>
      <c r="E1219" s="12">
        <v>61115.4</v>
      </c>
      <c r="F1219" s="21" t="s">
        <v>54</v>
      </c>
      <c r="G1219" s="21" t="s">
        <v>1016</v>
      </c>
      <c r="H1219" s="21" t="s">
        <v>79</v>
      </c>
      <c r="I1219" s="21" t="s">
        <v>91</v>
      </c>
      <c r="J1219" s="68">
        <f>+MONTH(ExpenseTable[[#This Row],[Voucher Date]])</f>
        <v>11</v>
      </c>
      <c r="K1219" s="13" t="s">
        <v>1154</v>
      </c>
    </row>
    <row r="1220" spans="1:11" x14ac:dyDescent="0.35">
      <c r="A1220" s="15">
        <v>45989</v>
      </c>
      <c r="B1220" s="11" t="s">
        <v>1268</v>
      </c>
      <c r="C1220" s="19">
        <v>45989</v>
      </c>
      <c r="D1220" s="13" t="s">
        <v>1270</v>
      </c>
      <c r="E1220" s="12">
        <v>98692.3</v>
      </c>
      <c r="F1220" s="21" t="s">
        <v>54</v>
      </c>
      <c r="G1220" s="21" t="s">
        <v>1100</v>
      </c>
      <c r="H1220" s="21" t="s">
        <v>1102</v>
      </c>
      <c r="I1220" s="21" t="s">
        <v>91</v>
      </c>
      <c r="J1220" s="68">
        <f>+MONTH(ExpenseTable[[#This Row],[Voucher Date]])</f>
        <v>11</v>
      </c>
      <c r="K1220" s="13" t="s">
        <v>1154</v>
      </c>
    </row>
    <row r="1221" spans="1:11" x14ac:dyDescent="0.35">
      <c r="A1221" s="15">
        <v>45989</v>
      </c>
      <c r="B1221" s="11" t="s">
        <v>1268</v>
      </c>
      <c r="C1221" s="19">
        <v>45989</v>
      </c>
      <c r="D1221" s="13" t="s">
        <v>1269</v>
      </c>
      <c r="E1221" s="12">
        <v>400000</v>
      </c>
      <c r="F1221" s="21" t="s">
        <v>38</v>
      </c>
      <c r="G1221" s="21" t="s">
        <v>72</v>
      </c>
      <c r="H1221" s="21" t="s">
        <v>73</v>
      </c>
      <c r="I1221" s="21" t="s">
        <v>91</v>
      </c>
      <c r="J1221" s="68">
        <f>+MONTH(ExpenseTable[[#This Row],[Voucher Date]])</f>
        <v>11</v>
      </c>
      <c r="K1221" s="13" t="s">
        <v>1154</v>
      </c>
    </row>
    <row r="1222" spans="1:11" x14ac:dyDescent="0.35">
      <c r="A1222" s="15">
        <v>45989</v>
      </c>
      <c r="B1222" s="11" t="s">
        <v>1268</v>
      </c>
      <c r="C1222" s="19">
        <v>45989</v>
      </c>
      <c r="D1222" s="13" t="s">
        <v>1267</v>
      </c>
      <c r="E1222" s="12">
        <v>1484436.85</v>
      </c>
      <c r="F1222" s="21" t="s">
        <v>29</v>
      </c>
      <c r="G1222" s="21" t="s">
        <v>72</v>
      </c>
      <c r="H1222" s="21" t="s">
        <v>73</v>
      </c>
      <c r="I1222" s="21" t="s">
        <v>91</v>
      </c>
      <c r="J1222" s="68">
        <f>+MONTH(ExpenseTable[[#This Row],[Voucher Date]])</f>
        <v>11</v>
      </c>
      <c r="K1222" s="13" t="s">
        <v>1154</v>
      </c>
    </row>
    <row r="1223" spans="1:11" x14ac:dyDescent="0.35">
      <c r="A1223" s="15">
        <v>45992</v>
      </c>
      <c r="B1223" s="11" t="s">
        <v>1274</v>
      </c>
      <c r="C1223" s="19">
        <v>45992</v>
      </c>
      <c r="D1223" s="13" t="s">
        <v>1275</v>
      </c>
      <c r="E1223" s="12">
        <v>2200</v>
      </c>
      <c r="F1223" s="21" t="s">
        <v>27</v>
      </c>
      <c r="G1223" s="21" t="s">
        <v>72</v>
      </c>
      <c r="H1223" s="21" t="s">
        <v>73</v>
      </c>
      <c r="I1223" s="21" t="s">
        <v>90</v>
      </c>
      <c r="J1223" s="68">
        <f>+MONTH(ExpenseTable[[#This Row],[Voucher Date]])</f>
        <v>12</v>
      </c>
      <c r="K1223" s="13" t="s">
        <v>1154</v>
      </c>
    </row>
    <row r="1224" spans="1:11" x14ac:dyDescent="0.35">
      <c r="A1224" s="15">
        <v>45992</v>
      </c>
      <c r="B1224" s="11" t="s">
        <v>1274</v>
      </c>
      <c r="C1224" s="19">
        <v>45992</v>
      </c>
      <c r="D1224" s="13" t="s">
        <v>1277</v>
      </c>
      <c r="E1224" s="12">
        <v>5400</v>
      </c>
      <c r="F1224" s="21" t="s">
        <v>22</v>
      </c>
      <c r="G1224" s="21" t="s">
        <v>72</v>
      </c>
      <c r="H1224" s="21" t="s">
        <v>73</v>
      </c>
      <c r="I1224" s="21" t="s">
        <v>90</v>
      </c>
      <c r="J1224" s="68">
        <f>+MONTH(ExpenseTable[[#This Row],[Voucher Date]])</f>
        <v>12</v>
      </c>
      <c r="K1224" s="13" t="s">
        <v>1154</v>
      </c>
    </row>
    <row r="1225" spans="1:11" x14ac:dyDescent="0.35">
      <c r="A1225" s="15">
        <v>45992</v>
      </c>
      <c r="B1225" s="11" t="s">
        <v>1274</v>
      </c>
      <c r="C1225" s="19">
        <v>45992</v>
      </c>
      <c r="D1225" s="13" t="s">
        <v>1278</v>
      </c>
      <c r="E1225" s="12">
        <v>25961.54</v>
      </c>
      <c r="F1225" s="21" t="s">
        <v>54</v>
      </c>
      <c r="G1225" s="21" t="s">
        <v>72</v>
      </c>
      <c r="H1225" s="21" t="s">
        <v>73</v>
      </c>
      <c r="I1225" s="21" t="s">
        <v>90</v>
      </c>
      <c r="J1225" s="68">
        <f>+MONTH(ExpenseTable[[#This Row],[Voucher Date]])</f>
        <v>12</v>
      </c>
      <c r="K1225" s="13" t="s">
        <v>1154</v>
      </c>
    </row>
    <row r="1226" spans="1:11" x14ac:dyDescent="0.35">
      <c r="A1226" s="15">
        <v>45992</v>
      </c>
      <c r="B1226" s="11" t="s">
        <v>1274</v>
      </c>
      <c r="C1226" s="19">
        <v>45992</v>
      </c>
      <c r="D1226" s="13" t="s">
        <v>1276</v>
      </c>
      <c r="E1226" s="12">
        <v>47926.14</v>
      </c>
      <c r="F1226" s="21" t="s">
        <v>29</v>
      </c>
      <c r="G1226" s="21" t="s">
        <v>72</v>
      </c>
      <c r="H1226" s="21" t="s">
        <v>73</v>
      </c>
      <c r="I1226" s="21" t="s">
        <v>90</v>
      </c>
      <c r="J1226" s="68">
        <f>+MONTH(ExpenseTable[[#This Row],[Voucher Date]])</f>
        <v>12</v>
      </c>
      <c r="K1226" s="13" t="s">
        <v>1154</v>
      </c>
    </row>
    <row r="1227" spans="1:11" x14ac:dyDescent="0.35">
      <c r="A1227" s="15">
        <v>45994</v>
      </c>
      <c r="B1227" s="11" t="s">
        <v>1279</v>
      </c>
      <c r="C1227" s="19">
        <v>45994</v>
      </c>
      <c r="D1227" s="13" t="s">
        <v>1280</v>
      </c>
      <c r="E1227" s="12">
        <v>5000</v>
      </c>
      <c r="F1227" s="21" t="s">
        <v>19</v>
      </c>
      <c r="G1227" s="21" t="s">
        <v>72</v>
      </c>
      <c r="H1227" s="21" t="s">
        <v>73</v>
      </c>
      <c r="I1227" s="21" t="s">
        <v>90</v>
      </c>
      <c r="J1227" s="68">
        <f>+MONTH(ExpenseTable[[#This Row],[Voucher Date]])</f>
        <v>12</v>
      </c>
      <c r="K1227" s="13" t="s">
        <v>1154</v>
      </c>
    </row>
    <row r="1228" spans="1:11" x14ac:dyDescent="0.35">
      <c r="A1228" s="15">
        <v>45995</v>
      </c>
      <c r="B1228" s="11" t="s">
        <v>1279</v>
      </c>
      <c r="C1228" s="19">
        <v>45994</v>
      </c>
      <c r="D1228" s="13" t="s">
        <v>1283</v>
      </c>
      <c r="E1228" s="12">
        <v>11740</v>
      </c>
      <c r="F1228" s="21" t="s">
        <v>27</v>
      </c>
      <c r="G1228" s="21" t="s">
        <v>72</v>
      </c>
      <c r="H1228" s="21" t="s">
        <v>73</v>
      </c>
      <c r="I1228" s="21" t="s">
        <v>90</v>
      </c>
      <c r="J1228" s="68">
        <f>+MONTH(ExpenseTable[[#This Row],[Voucher Date]])</f>
        <v>12</v>
      </c>
      <c r="K1228" s="13" t="s">
        <v>1154</v>
      </c>
    </row>
    <row r="1229" spans="1:11" x14ac:dyDescent="0.35">
      <c r="A1229" s="15">
        <v>45996</v>
      </c>
      <c r="B1229" s="11" t="s">
        <v>1279</v>
      </c>
      <c r="C1229" s="19">
        <v>45994</v>
      </c>
      <c r="D1229" s="13" t="s">
        <v>1285</v>
      </c>
      <c r="E1229" s="12">
        <v>13000</v>
      </c>
      <c r="F1229" s="21" t="s">
        <v>5</v>
      </c>
      <c r="G1229" s="21" t="s">
        <v>72</v>
      </c>
      <c r="H1229" s="21" t="s">
        <v>73</v>
      </c>
      <c r="I1229" s="21" t="s">
        <v>90</v>
      </c>
      <c r="J1229" s="68">
        <f>+MONTH(ExpenseTable[[#This Row],[Voucher Date]])</f>
        <v>12</v>
      </c>
      <c r="K1229" s="13" t="s">
        <v>1154</v>
      </c>
    </row>
    <row r="1230" spans="1:11" x14ac:dyDescent="0.35">
      <c r="A1230" s="15">
        <v>45994</v>
      </c>
      <c r="B1230" s="11" t="s">
        <v>1279</v>
      </c>
      <c r="C1230" s="19">
        <v>45994</v>
      </c>
      <c r="D1230" s="13" t="s">
        <v>1281</v>
      </c>
      <c r="E1230" s="12">
        <v>15000</v>
      </c>
      <c r="F1230" s="21" t="s">
        <v>22</v>
      </c>
      <c r="G1230" s="21" t="s">
        <v>72</v>
      </c>
      <c r="H1230" s="21" t="s">
        <v>73</v>
      </c>
      <c r="I1230" s="21" t="s">
        <v>90</v>
      </c>
      <c r="J1230" s="68">
        <f>+MONTH(ExpenseTable[[#This Row],[Voucher Date]])</f>
        <v>12</v>
      </c>
      <c r="K1230" s="13" t="s">
        <v>1154</v>
      </c>
    </row>
    <row r="1231" spans="1:11" x14ac:dyDescent="0.35">
      <c r="A1231" s="15">
        <v>45994</v>
      </c>
      <c r="B1231" s="11" t="s">
        <v>1279</v>
      </c>
      <c r="C1231" s="19">
        <v>45994</v>
      </c>
      <c r="D1231" s="13" t="s">
        <v>1282</v>
      </c>
      <c r="E1231" s="12">
        <v>16000</v>
      </c>
      <c r="F1231" s="21" t="s">
        <v>31</v>
      </c>
      <c r="G1231" s="21" t="s">
        <v>72</v>
      </c>
      <c r="H1231" s="21" t="s">
        <v>73</v>
      </c>
      <c r="I1231" s="21" t="s">
        <v>90</v>
      </c>
      <c r="J1231" s="68">
        <f>+MONTH(ExpenseTable[[#This Row],[Voucher Date]])</f>
        <v>12</v>
      </c>
      <c r="K1231" s="13" t="s">
        <v>1154</v>
      </c>
    </row>
    <row r="1232" spans="1:11" x14ac:dyDescent="0.35">
      <c r="A1232" s="15">
        <v>45996</v>
      </c>
      <c r="B1232" s="11" t="s">
        <v>1279</v>
      </c>
      <c r="C1232" s="19">
        <v>45994</v>
      </c>
      <c r="D1232" s="13" t="s">
        <v>1284</v>
      </c>
      <c r="E1232" s="12">
        <v>18000</v>
      </c>
      <c r="F1232" s="21" t="s">
        <v>55</v>
      </c>
      <c r="G1232" s="21" t="s">
        <v>72</v>
      </c>
      <c r="H1232" s="21" t="s">
        <v>73</v>
      </c>
      <c r="I1232" s="21" t="s">
        <v>90</v>
      </c>
      <c r="J1232" s="68">
        <f>+MONTH(ExpenseTable[[#This Row],[Voucher Date]])</f>
        <v>12</v>
      </c>
      <c r="K1232" s="13" t="s">
        <v>1154</v>
      </c>
    </row>
    <row r="1233" spans="1:11" x14ac:dyDescent="0.35">
      <c r="A1233" s="15">
        <v>45996</v>
      </c>
      <c r="B1233" s="11" t="s">
        <v>1279</v>
      </c>
      <c r="C1233" s="19">
        <v>45994</v>
      </c>
      <c r="D1233" s="13" t="s">
        <v>1286</v>
      </c>
      <c r="E1233" s="12">
        <v>33000</v>
      </c>
      <c r="F1233" s="21" t="s">
        <v>22</v>
      </c>
      <c r="G1233" s="21" t="s">
        <v>72</v>
      </c>
      <c r="H1233" s="21" t="s">
        <v>73</v>
      </c>
      <c r="I1233" s="21" t="s">
        <v>90</v>
      </c>
      <c r="J1233" s="68">
        <f>+MONTH(ExpenseTable[[#This Row],[Voucher Date]])</f>
        <v>12</v>
      </c>
      <c r="K1233" s="13" t="s">
        <v>1154</v>
      </c>
    </row>
    <row r="1234" spans="1:11" x14ac:dyDescent="0.35">
      <c r="A1234" s="15">
        <v>46000</v>
      </c>
      <c r="B1234" s="11" t="s">
        <v>1279</v>
      </c>
      <c r="C1234" s="19">
        <v>45994</v>
      </c>
      <c r="D1234" s="13" t="s">
        <v>1287</v>
      </c>
      <c r="E1234" s="12">
        <v>557573</v>
      </c>
      <c r="F1234" s="21" t="s">
        <v>20</v>
      </c>
      <c r="G1234" s="21" t="s">
        <v>72</v>
      </c>
      <c r="H1234" s="21" t="s">
        <v>73</v>
      </c>
      <c r="I1234" s="21" t="s">
        <v>90</v>
      </c>
      <c r="J1234" s="68">
        <f>+MONTH(ExpenseTable[[#This Row],[Voucher Date]])</f>
        <v>12</v>
      </c>
      <c r="K1234" s="13" t="s">
        <v>1154</v>
      </c>
    </row>
    <row r="1235" spans="1:11" x14ac:dyDescent="0.35">
      <c r="A1235" s="15">
        <v>46012</v>
      </c>
      <c r="B1235" s="11" t="s">
        <v>1310</v>
      </c>
      <c r="C1235" s="19">
        <v>46012</v>
      </c>
      <c r="D1235" s="13" t="s">
        <v>1311</v>
      </c>
      <c r="E1235" s="12">
        <v>55000</v>
      </c>
      <c r="F1235" s="21" t="s">
        <v>22</v>
      </c>
      <c r="G1235" s="21" t="s">
        <v>72</v>
      </c>
      <c r="H1235" s="21" t="s">
        <v>73</v>
      </c>
      <c r="I1235" s="21" t="s">
        <v>1123</v>
      </c>
      <c r="J1235" s="13">
        <f>+MONTH(ExpenseTable[[#This Row],[Voucher Date]])</f>
        <v>12</v>
      </c>
      <c r="K1235" s="13" t="s">
        <v>1154</v>
      </c>
    </row>
    <row r="1236" spans="1:11" x14ac:dyDescent="0.35">
      <c r="A1236" s="15">
        <v>46014</v>
      </c>
      <c r="B1236" s="11" t="s">
        <v>1310</v>
      </c>
      <c r="C1236" s="19">
        <v>46012</v>
      </c>
      <c r="D1236" s="13" t="s">
        <v>1312</v>
      </c>
      <c r="E1236" s="12">
        <v>38000</v>
      </c>
      <c r="F1236" s="21" t="s">
        <v>23</v>
      </c>
      <c r="G1236" s="21" t="s">
        <v>72</v>
      </c>
      <c r="H1236" s="21" t="s">
        <v>73</v>
      </c>
      <c r="I1236" s="21" t="s">
        <v>1123</v>
      </c>
      <c r="J1236" s="13">
        <f>+MONTH(ExpenseTable[[#This Row],[Voucher Date]])</f>
        <v>12</v>
      </c>
      <c r="K1236" s="13" t="s">
        <v>1154</v>
      </c>
    </row>
    <row r="1237" spans="1:11" x14ac:dyDescent="0.35">
      <c r="A1237" s="15">
        <v>46017</v>
      </c>
      <c r="B1237" s="11" t="s">
        <v>1310</v>
      </c>
      <c r="C1237" s="19">
        <v>46012</v>
      </c>
      <c r="D1237" s="13" t="s">
        <v>1313</v>
      </c>
      <c r="E1237" s="12">
        <v>10000</v>
      </c>
      <c r="F1237" s="21" t="s">
        <v>31</v>
      </c>
      <c r="G1237" s="21" t="s">
        <v>72</v>
      </c>
      <c r="H1237" s="21" t="s">
        <v>73</v>
      </c>
      <c r="I1237" s="21" t="s">
        <v>1123</v>
      </c>
      <c r="J1237" s="13">
        <f>+MONTH(ExpenseTable[[#This Row],[Voucher Date]])</f>
        <v>12</v>
      </c>
      <c r="K1237" s="13" t="s">
        <v>1154</v>
      </c>
    </row>
    <row r="1238" spans="1:11" x14ac:dyDescent="0.35">
      <c r="A1238" s="15">
        <v>46003</v>
      </c>
      <c r="B1238" s="11" t="s">
        <v>1310</v>
      </c>
      <c r="C1238" s="19">
        <v>46012</v>
      </c>
      <c r="D1238" s="13" t="s">
        <v>1314</v>
      </c>
      <c r="E1238" s="12">
        <v>100000</v>
      </c>
      <c r="F1238" s="21" t="s">
        <v>22</v>
      </c>
      <c r="G1238" s="21" t="s">
        <v>72</v>
      </c>
      <c r="H1238" s="21" t="s">
        <v>73</v>
      </c>
      <c r="I1238" s="21" t="s">
        <v>1123</v>
      </c>
      <c r="J1238" s="13">
        <f>+MONTH(ExpenseTable[[#This Row],[Voucher Date]])</f>
        <v>12</v>
      </c>
      <c r="K1238" s="13" t="s">
        <v>1154</v>
      </c>
    </row>
    <row r="1239" spans="1:11" x14ac:dyDescent="0.35">
      <c r="A1239" s="15">
        <v>45984</v>
      </c>
      <c r="B1239" s="11" t="s">
        <v>1310</v>
      </c>
      <c r="C1239" s="19">
        <v>46012</v>
      </c>
      <c r="D1239" s="13" t="s">
        <v>1315</v>
      </c>
      <c r="E1239" s="12">
        <v>25000</v>
      </c>
      <c r="F1239" s="21" t="s">
        <v>33</v>
      </c>
      <c r="G1239" s="21" t="s">
        <v>72</v>
      </c>
      <c r="H1239" s="21" t="s">
        <v>73</v>
      </c>
      <c r="I1239" s="21" t="s">
        <v>1123</v>
      </c>
      <c r="J1239" s="13">
        <f>+MONTH(ExpenseTable[[#This Row],[Voucher Date]])</f>
        <v>12</v>
      </c>
      <c r="K1239" s="13" t="s">
        <v>1154</v>
      </c>
    </row>
    <row r="1240" spans="1:11" x14ac:dyDescent="0.35">
      <c r="A1240" s="15">
        <v>46022</v>
      </c>
      <c r="B1240" s="11" t="s">
        <v>1310</v>
      </c>
      <c r="C1240" s="19">
        <v>46012</v>
      </c>
      <c r="D1240" s="13" t="s">
        <v>1316</v>
      </c>
      <c r="E1240" s="12">
        <v>2935500</v>
      </c>
      <c r="F1240" s="21" t="s">
        <v>22</v>
      </c>
      <c r="G1240" s="21" t="s">
        <v>72</v>
      </c>
      <c r="H1240" s="21" t="s">
        <v>73</v>
      </c>
      <c r="I1240" s="21" t="s">
        <v>1123</v>
      </c>
      <c r="J1240" s="13">
        <f>+MONTH(ExpenseTable[[#This Row],[Voucher Date]])</f>
        <v>12</v>
      </c>
      <c r="K1240" s="13" t="s">
        <v>1154</v>
      </c>
    </row>
    <row r="1241" spans="1:11" x14ac:dyDescent="0.35">
      <c r="A1241" s="15">
        <v>45988</v>
      </c>
      <c r="B1241" s="11" t="s">
        <v>1310</v>
      </c>
      <c r="C1241" s="19">
        <v>46012</v>
      </c>
      <c r="D1241" s="13" t="s">
        <v>1317</v>
      </c>
      <c r="E1241" s="12">
        <v>10000</v>
      </c>
      <c r="F1241" s="21" t="s">
        <v>22</v>
      </c>
      <c r="G1241" s="21" t="s">
        <v>72</v>
      </c>
      <c r="H1241" s="21" t="s">
        <v>73</v>
      </c>
      <c r="I1241" s="21" t="s">
        <v>1123</v>
      </c>
      <c r="J1241" s="13">
        <f>+MONTH(ExpenseTable[[#This Row],[Voucher Date]])</f>
        <v>12</v>
      </c>
      <c r="K1241" s="13" t="s">
        <v>1154</v>
      </c>
    </row>
    <row r="1242" spans="1:11" x14ac:dyDescent="0.35">
      <c r="A1242" s="15">
        <v>45989</v>
      </c>
      <c r="B1242" s="11" t="s">
        <v>1310</v>
      </c>
      <c r="C1242" s="19">
        <v>46012</v>
      </c>
      <c r="D1242" s="13" t="s">
        <v>1318</v>
      </c>
      <c r="E1242" s="12">
        <v>1500</v>
      </c>
      <c r="F1242" s="21" t="s">
        <v>22</v>
      </c>
      <c r="G1242" s="21" t="s">
        <v>72</v>
      </c>
      <c r="H1242" s="21" t="s">
        <v>73</v>
      </c>
      <c r="I1242" s="21" t="s">
        <v>1123</v>
      </c>
      <c r="J1242" s="13">
        <f>+MONTH(ExpenseTable[[#This Row],[Voucher Date]])</f>
        <v>12</v>
      </c>
      <c r="K1242" s="13" t="s">
        <v>1154</v>
      </c>
    </row>
    <row r="1243" spans="1:11" x14ac:dyDescent="0.35">
      <c r="A1243" s="15">
        <v>46000</v>
      </c>
      <c r="B1243" s="11" t="s">
        <v>1331</v>
      </c>
      <c r="C1243" s="19">
        <v>46000</v>
      </c>
      <c r="D1243" s="13" t="s">
        <v>1332</v>
      </c>
      <c r="E1243" s="12">
        <v>563750</v>
      </c>
      <c r="F1243" s="21" t="s">
        <v>38</v>
      </c>
      <c r="G1243" s="21" t="s">
        <v>72</v>
      </c>
      <c r="H1243" s="21" t="s">
        <v>73</v>
      </c>
      <c r="I1243" s="21" t="s">
        <v>91</v>
      </c>
      <c r="J1243" s="13">
        <f>+MONTH(ExpenseTable[[#This Row],[Voucher Date]])</f>
        <v>12</v>
      </c>
      <c r="K1243" s="13" t="s">
        <v>1154</v>
      </c>
    </row>
    <row r="1244" spans="1:11" x14ac:dyDescent="0.35">
      <c r="A1244" s="15">
        <v>45965</v>
      </c>
      <c r="B1244" s="11" t="s">
        <v>1097</v>
      </c>
      <c r="C1244" s="19">
        <v>45965</v>
      </c>
      <c r="D1244" s="13" t="s">
        <v>1304</v>
      </c>
      <c r="E1244" s="12">
        <v>350000</v>
      </c>
      <c r="F1244" s="21" t="s">
        <v>5</v>
      </c>
      <c r="G1244" s="21" t="s">
        <v>72</v>
      </c>
      <c r="H1244" s="21" t="s">
        <v>73</v>
      </c>
      <c r="I1244" s="21" t="s">
        <v>91</v>
      </c>
      <c r="J1244" s="13">
        <f>+MONTH(ExpenseTable[[#This Row],[Voucher Date]])</f>
        <v>11</v>
      </c>
      <c r="K1244" s="13" t="s">
        <v>1154</v>
      </c>
    </row>
    <row r="1245" spans="1:11" x14ac:dyDescent="0.35">
      <c r="A1245" s="15">
        <v>45987</v>
      </c>
      <c r="B1245" s="11" t="s">
        <v>1097</v>
      </c>
      <c r="C1245" s="19">
        <v>45965</v>
      </c>
      <c r="D1245" s="13" t="s">
        <v>1141</v>
      </c>
      <c r="E1245" s="12">
        <v>45000</v>
      </c>
      <c r="F1245" s="21" t="s">
        <v>86</v>
      </c>
      <c r="G1245" s="21" t="s">
        <v>72</v>
      </c>
      <c r="H1245" s="21" t="s">
        <v>73</v>
      </c>
      <c r="I1245" s="21" t="s">
        <v>91</v>
      </c>
      <c r="J1245" s="13">
        <f>+MONTH(ExpenseTable[[#This Row],[Voucher Date]])</f>
        <v>11</v>
      </c>
      <c r="K1245" s="13" t="s">
        <v>1154</v>
      </c>
    </row>
    <row r="1246" spans="1:11" x14ac:dyDescent="0.35">
      <c r="A1246" s="15">
        <v>46007</v>
      </c>
      <c r="B1246" s="11" t="s">
        <v>1333</v>
      </c>
      <c r="C1246" s="19">
        <v>46007</v>
      </c>
      <c r="D1246" s="13" t="s">
        <v>1305</v>
      </c>
      <c r="E1246" s="12">
        <v>1300000</v>
      </c>
      <c r="F1246" s="21" t="s">
        <v>47</v>
      </c>
      <c r="G1246" s="21" t="s">
        <v>72</v>
      </c>
      <c r="H1246" s="21" t="s">
        <v>73</v>
      </c>
      <c r="I1246" s="21" t="s">
        <v>91</v>
      </c>
      <c r="J1246" s="13">
        <f>+MONTH(ExpenseTable[[#This Row],[Voucher Date]])</f>
        <v>12</v>
      </c>
      <c r="K1246" s="13" t="s">
        <v>1154</v>
      </c>
    </row>
    <row r="1247" spans="1:11" x14ac:dyDescent="0.35">
      <c r="A1247" s="15">
        <v>46009</v>
      </c>
      <c r="B1247" s="11" t="s">
        <v>1333</v>
      </c>
      <c r="C1247" s="19">
        <v>46007</v>
      </c>
      <c r="D1247" s="13" t="s">
        <v>1306</v>
      </c>
      <c r="E1247" s="12">
        <v>1500000</v>
      </c>
      <c r="F1247" s="21" t="s">
        <v>54</v>
      </c>
      <c r="G1247" s="21" t="s">
        <v>72</v>
      </c>
      <c r="H1247" s="21" t="s">
        <v>73</v>
      </c>
      <c r="I1247" s="21" t="s">
        <v>91</v>
      </c>
      <c r="J1247" s="13">
        <f>+MONTH(ExpenseTable[[#This Row],[Voucher Date]])</f>
        <v>12</v>
      </c>
      <c r="K1247" s="13" t="s">
        <v>1154</v>
      </c>
    </row>
    <row r="1248" spans="1:11" x14ac:dyDescent="0.35">
      <c r="A1248" s="15">
        <v>46010</v>
      </c>
      <c r="B1248" s="11" t="s">
        <v>1333</v>
      </c>
      <c r="C1248" s="19">
        <v>46007</v>
      </c>
      <c r="D1248" s="13" t="s">
        <v>1307</v>
      </c>
      <c r="E1248" s="12">
        <v>203441.34</v>
      </c>
      <c r="F1248" s="21" t="s">
        <v>56</v>
      </c>
      <c r="G1248" s="21" t="s">
        <v>72</v>
      </c>
      <c r="H1248" s="21" t="s">
        <v>73</v>
      </c>
      <c r="I1248" s="21" t="s">
        <v>91</v>
      </c>
      <c r="J1248" s="13">
        <f>+MONTH(ExpenseTable[[#This Row],[Voucher Date]])</f>
        <v>12</v>
      </c>
      <c r="K1248" s="13" t="s">
        <v>1154</v>
      </c>
    </row>
    <row r="1249" spans="1:11" x14ac:dyDescent="0.35">
      <c r="A1249" s="15">
        <v>46000</v>
      </c>
      <c r="B1249" s="11" t="s">
        <v>1333</v>
      </c>
      <c r="C1249" s="19">
        <v>46007</v>
      </c>
      <c r="D1249" s="13" t="s">
        <v>1308</v>
      </c>
      <c r="E1249" s="12">
        <v>5000000</v>
      </c>
      <c r="F1249" s="21" t="s">
        <v>96</v>
      </c>
      <c r="G1249" s="21" t="s">
        <v>72</v>
      </c>
      <c r="H1249" s="21" t="s">
        <v>73</v>
      </c>
      <c r="I1249" s="21" t="s">
        <v>91</v>
      </c>
      <c r="J1249" s="13">
        <f>+MONTH(ExpenseTable[[#This Row],[Voucher Date]])</f>
        <v>12</v>
      </c>
      <c r="K1249" s="13" t="s">
        <v>1154</v>
      </c>
    </row>
    <row r="1250" spans="1:11" x14ac:dyDescent="0.35">
      <c r="A1250" s="15">
        <v>46000</v>
      </c>
      <c r="B1250" s="11" t="s">
        <v>1333</v>
      </c>
      <c r="C1250" s="19">
        <v>46007</v>
      </c>
      <c r="D1250" s="13" t="s">
        <v>1309</v>
      </c>
      <c r="E1250" s="12">
        <v>2100000</v>
      </c>
      <c r="F1250" s="21" t="s">
        <v>54</v>
      </c>
      <c r="G1250" s="21" t="s">
        <v>72</v>
      </c>
      <c r="H1250" s="21" t="s">
        <v>73</v>
      </c>
      <c r="I1250" s="21" t="s">
        <v>91</v>
      </c>
      <c r="J1250" s="13">
        <f>+MONTH(ExpenseTable[[#This Row],[Voucher Date]])</f>
        <v>12</v>
      </c>
      <c r="K1250" s="13" t="s">
        <v>1154</v>
      </c>
    </row>
    <row r="1251" spans="1:11" x14ac:dyDescent="0.35">
      <c r="A1251" s="15">
        <v>46003</v>
      </c>
      <c r="B1251" s="11" t="s">
        <v>1334</v>
      </c>
      <c r="C1251" s="19">
        <v>46003</v>
      </c>
      <c r="D1251" s="13" t="s">
        <v>1335</v>
      </c>
      <c r="E1251" s="12">
        <v>973000</v>
      </c>
      <c r="F1251" s="21" t="s">
        <v>54</v>
      </c>
      <c r="G1251" s="21" t="s">
        <v>72</v>
      </c>
      <c r="H1251" s="21" t="s">
        <v>73</v>
      </c>
      <c r="I1251" s="21" t="s">
        <v>91</v>
      </c>
      <c r="J1251" s="13">
        <f>+MONTH(ExpenseTable[[#This Row],[Voucher Date]])</f>
        <v>12</v>
      </c>
      <c r="K1251" s="13" t="s">
        <v>1039</v>
      </c>
    </row>
    <row r="1252" spans="1:11" x14ac:dyDescent="0.35">
      <c r="A1252" s="15">
        <v>46003</v>
      </c>
      <c r="B1252" s="11" t="s">
        <v>1334</v>
      </c>
      <c r="C1252" s="19">
        <v>46003</v>
      </c>
      <c r="D1252" s="13" t="s">
        <v>1336</v>
      </c>
      <c r="E1252" s="12">
        <v>113000</v>
      </c>
      <c r="F1252" s="21" t="s">
        <v>34</v>
      </c>
      <c r="G1252" s="21" t="s">
        <v>72</v>
      </c>
      <c r="H1252" s="21" t="s">
        <v>73</v>
      </c>
      <c r="I1252" s="21" t="s">
        <v>91</v>
      </c>
      <c r="J1252" s="13">
        <f>+MONTH(ExpenseTable[[#This Row],[Voucher Date]])</f>
        <v>12</v>
      </c>
      <c r="K1252" s="13" t="s">
        <v>1039</v>
      </c>
    </row>
    <row r="1253" spans="1:11" x14ac:dyDescent="0.35">
      <c r="A1253" s="15">
        <v>46003</v>
      </c>
      <c r="B1253" s="11" t="s">
        <v>1334</v>
      </c>
      <c r="C1253" s="19">
        <v>46003</v>
      </c>
      <c r="D1253" s="13" t="s">
        <v>1337</v>
      </c>
      <c r="E1253" s="12">
        <v>2055000</v>
      </c>
      <c r="F1253" s="21" t="s">
        <v>54</v>
      </c>
      <c r="G1253" s="21" t="s">
        <v>72</v>
      </c>
      <c r="H1253" s="21" t="s">
        <v>73</v>
      </c>
      <c r="I1253" s="21" t="s">
        <v>91</v>
      </c>
      <c r="J1253" s="13">
        <f>+MONTH(ExpenseTable[[#This Row],[Voucher Date]])</f>
        <v>12</v>
      </c>
      <c r="K1253" s="13" t="s">
        <v>1039</v>
      </c>
    </row>
    <row r="1254" spans="1:11" x14ac:dyDescent="0.35">
      <c r="A1254" s="15">
        <v>46003</v>
      </c>
      <c r="B1254" s="11" t="s">
        <v>1334</v>
      </c>
      <c r="C1254" s="19">
        <v>46003</v>
      </c>
      <c r="D1254" s="13" t="s">
        <v>1338</v>
      </c>
      <c r="E1254" s="12">
        <v>900000</v>
      </c>
      <c r="F1254" s="21" t="s">
        <v>44</v>
      </c>
      <c r="G1254" s="21" t="s">
        <v>72</v>
      </c>
      <c r="H1254" s="21" t="s">
        <v>73</v>
      </c>
      <c r="I1254" s="21" t="s">
        <v>91</v>
      </c>
      <c r="J1254" s="13">
        <f>+MONTH(ExpenseTable[[#This Row],[Voucher Date]])</f>
        <v>12</v>
      </c>
      <c r="K1254" s="13" t="s">
        <v>1039</v>
      </c>
    </row>
    <row r="1255" spans="1:11" x14ac:dyDescent="0.35">
      <c r="A1255" s="15">
        <v>46003</v>
      </c>
      <c r="B1255" s="11" t="s">
        <v>1334</v>
      </c>
      <c r="C1255" s="19">
        <v>46003</v>
      </c>
      <c r="D1255" s="13" t="s">
        <v>1339</v>
      </c>
      <c r="E1255" s="12">
        <v>50000</v>
      </c>
      <c r="F1255" s="21" t="s">
        <v>47</v>
      </c>
      <c r="G1255" s="21" t="s">
        <v>72</v>
      </c>
      <c r="H1255" s="21" t="s">
        <v>73</v>
      </c>
      <c r="I1255" s="21" t="s">
        <v>91</v>
      </c>
      <c r="J1255" s="13">
        <f>+MONTH(ExpenseTable[[#This Row],[Voucher Date]])</f>
        <v>12</v>
      </c>
      <c r="K1255" s="13" t="s">
        <v>1039</v>
      </c>
    </row>
    <row r="1256" spans="1:11" x14ac:dyDescent="0.35">
      <c r="A1256" s="15">
        <v>46003</v>
      </c>
      <c r="B1256" s="11" t="s">
        <v>1334</v>
      </c>
      <c r="C1256" s="19">
        <v>46003</v>
      </c>
      <c r="D1256" s="13" t="s">
        <v>1341</v>
      </c>
      <c r="E1256" s="12">
        <v>1440000</v>
      </c>
      <c r="F1256" s="21" t="s">
        <v>47</v>
      </c>
      <c r="G1256" s="21" t="s">
        <v>72</v>
      </c>
      <c r="H1256" s="21" t="s">
        <v>73</v>
      </c>
      <c r="I1256" s="21" t="s">
        <v>91</v>
      </c>
      <c r="J1256" s="13">
        <f>+MONTH(ExpenseTable[[#This Row],[Voucher Date]])</f>
        <v>12</v>
      </c>
      <c r="K1256" s="13" t="s">
        <v>1039</v>
      </c>
    </row>
    <row r="1257" spans="1:11" x14ac:dyDescent="0.35">
      <c r="A1257" s="15">
        <v>46003</v>
      </c>
      <c r="B1257" s="11" t="s">
        <v>1334</v>
      </c>
      <c r="C1257" s="19">
        <v>46003</v>
      </c>
      <c r="D1257" s="13" t="s">
        <v>1340</v>
      </c>
      <c r="E1257" s="12">
        <v>960000</v>
      </c>
      <c r="F1257" s="21" t="s">
        <v>86</v>
      </c>
      <c r="G1257" s="21" t="s">
        <v>72</v>
      </c>
      <c r="H1257" s="21" t="s">
        <v>73</v>
      </c>
      <c r="I1257" s="21" t="s">
        <v>91</v>
      </c>
      <c r="J1257" s="13">
        <f>+MONTH(ExpenseTable[[#This Row],[Voucher Date]])</f>
        <v>12</v>
      </c>
      <c r="K1257" s="13" t="s">
        <v>1039</v>
      </c>
    </row>
    <row r="1258" spans="1:11" x14ac:dyDescent="0.35">
      <c r="A1258" s="15">
        <v>46007</v>
      </c>
      <c r="B1258" s="11" t="s">
        <v>1295</v>
      </c>
      <c r="C1258" s="19">
        <v>46000</v>
      </c>
      <c r="D1258" s="13" t="s">
        <v>1300</v>
      </c>
      <c r="E1258" s="12">
        <v>400</v>
      </c>
      <c r="F1258" s="21" t="s">
        <v>21</v>
      </c>
      <c r="G1258" s="21" t="s">
        <v>72</v>
      </c>
      <c r="H1258" s="21" t="s">
        <v>73</v>
      </c>
      <c r="I1258" s="21" t="s">
        <v>90</v>
      </c>
      <c r="J1258" s="13">
        <f>+MONTH(ExpenseTable[[#This Row],[Voucher Date]])</f>
        <v>12</v>
      </c>
      <c r="K1258" s="13" t="s">
        <v>1154</v>
      </c>
    </row>
    <row r="1259" spans="1:11" x14ac:dyDescent="0.35">
      <c r="A1259" s="15">
        <v>46007</v>
      </c>
      <c r="B1259" s="11" t="s">
        <v>1295</v>
      </c>
      <c r="C1259" s="19">
        <v>46000</v>
      </c>
      <c r="D1259" s="13" t="s">
        <v>1299</v>
      </c>
      <c r="E1259" s="12">
        <v>2000</v>
      </c>
      <c r="F1259" s="21" t="s">
        <v>22</v>
      </c>
      <c r="G1259" s="21" t="s">
        <v>72</v>
      </c>
      <c r="H1259" s="21" t="s">
        <v>73</v>
      </c>
      <c r="I1259" s="21" t="s">
        <v>90</v>
      </c>
      <c r="J1259" s="13">
        <f>+MONTH(ExpenseTable[[#This Row],[Voucher Date]])</f>
        <v>12</v>
      </c>
      <c r="K1259" s="13" t="s">
        <v>1154</v>
      </c>
    </row>
    <row r="1260" spans="1:11" x14ac:dyDescent="0.35">
      <c r="A1260" s="15">
        <v>46007</v>
      </c>
      <c r="B1260" s="11" t="s">
        <v>1295</v>
      </c>
      <c r="C1260" s="19">
        <v>46000</v>
      </c>
      <c r="D1260" s="13" t="s">
        <v>1298</v>
      </c>
      <c r="E1260" s="12">
        <v>6000</v>
      </c>
      <c r="F1260" s="21" t="s">
        <v>54</v>
      </c>
      <c r="G1260" s="21" t="s">
        <v>1016</v>
      </c>
      <c r="H1260" s="21" t="s">
        <v>68</v>
      </c>
      <c r="I1260" s="21" t="s">
        <v>90</v>
      </c>
      <c r="J1260" s="13">
        <f>+MONTH(ExpenseTable[[#This Row],[Voucher Date]])</f>
        <v>12</v>
      </c>
      <c r="K1260" s="13" t="s">
        <v>1154</v>
      </c>
    </row>
    <row r="1261" spans="1:11" x14ac:dyDescent="0.35">
      <c r="A1261" s="15">
        <v>46001</v>
      </c>
      <c r="B1261" s="11" t="s">
        <v>1295</v>
      </c>
      <c r="C1261" s="19">
        <v>46000</v>
      </c>
      <c r="D1261" s="13" t="s">
        <v>616</v>
      </c>
      <c r="E1261" s="12">
        <v>9800</v>
      </c>
      <c r="F1261" s="21" t="s">
        <v>22</v>
      </c>
      <c r="G1261" s="21" t="s">
        <v>72</v>
      </c>
      <c r="H1261" s="21" t="s">
        <v>73</v>
      </c>
      <c r="I1261" s="21" t="s">
        <v>90</v>
      </c>
      <c r="J1261" s="13">
        <f>+MONTH(ExpenseTable[[#This Row],[Voucher Date]])</f>
        <v>12</v>
      </c>
      <c r="K1261" s="13" t="s">
        <v>1154</v>
      </c>
    </row>
    <row r="1262" spans="1:11" x14ac:dyDescent="0.35">
      <c r="A1262" s="15">
        <v>46000</v>
      </c>
      <c r="B1262" s="11" t="s">
        <v>1295</v>
      </c>
      <c r="C1262" s="19">
        <v>46000</v>
      </c>
      <c r="D1262" s="13" t="s">
        <v>1296</v>
      </c>
      <c r="E1262" s="12">
        <v>10000</v>
      </c>
      <c r="F1262" s="21" t="s">
        <v>54</v>
      </c>
      <c r="G1262" s="21" t="s">
        <v>72</v>
      </c>
      <c r="H1262" s="21" t="s">
        <v>73</v>
      </c>
      <c r="I1262" s="21" t="s">
        <v>90</v>
      </c>
      <c r="J1262" s="13">
        <f>+MONTH(ExpenseTable[[#This Row],[Voucher Date]])</f>
        <v>12</v>
      </c>
      <c r="K1262" s="13" t="s">
        <v>1154</v>
      </c>
    </row>
    <row r="1263" spans="1:11" x14ac:dyDescent="0.35">
      <c r="A1263" s="15">
        <v>46001</v>
      </c>
      <c r="B1263" s="11" t="s">
        <v>1295</v>
      </c>
      <c r="C1263" s="19">
        <v>46000</v>
      </c>
      <c r="D1263" s="13" t="s">
        <v>1297</v>
      </c>
      <c r="E1263" s="12">
        <v>140000</v>
      </c>
      <c r="F1263" s="21" t="s">
        <v>54</v>
      </c>
      <c r="G1263" s="21" t="s">
        <v>72</v>
      </c>
      <c r="H1263" s="21" t="s">
        <v>73</v>
      </c>
      <c r="I1263" s="21" t="s">
        <v>90</v>
      </c>
      <c r="J1263" s="13">
        <f>+MONTH(ExpenseTable[[#This Row],[Voucher Date]])</f>
        <v>12</v>
      </c>
      <c r="K1263" s="13" t="s">
        <v>1154</v>
      </c>
    </row>
    <row r="1264" spans="1:11" x14ac:dyDescent="0.35">
      <c r="A1264" s="15">
        <v>45997</v>
      </c>
      <c r="B1264" s="11" t="s">
        <v>1328</v>
      </c>
      <c r="C1264" s="19">
        <v>45996</v>
      </c>
      <c r="D1264" s="13" t="s">
        <v>1329</v>
      </c>
      <c r="E1264" s="12">
        <v>9400</v>
      </c>
      <c r="F1264" s="21" t="s">
        <v>5</v>
      </c>
      <c r="G1264" s="21" t="s">
        <v>72</v>
      </c>
      <c r="H1264" s="21" t="s">
        <v>73</v>
      </c>
      <c r="I1264" s="21" t="s">
        <v>91</v>
      </c>
      <c r="J1264" s="13">
        <f>+MONTH(ExpenseTable[[#This Row],[Voucher Date]])</f>
        <v>12</v>
      </c>
      <c r="K1264" s="13" t="s">
        <v>1154</v>
      </c>
    </row>
    <row r="1265" spans="1:11" x14ac:dyDescent="0.35">
      <c r="A1265" s="15">
        <v>46014</v>
      </c>
      <c r="B1265" s="11" t="s">
        <v>1328</v>
      </c>
      <c r="C1265" s="19">
        <v>45996</v>
      </c>
      <c r="D1265" s="13" t="s">
        <v>1330</v>
      </c>
      <c r="E1265" s="12">
        <v>5000</v>
      </c>
      <c r="F1265" s="21" t="s">
        <v>22</v>
      </c>
      <c r="G1265" s="21" t="s">
        <v>72</v>
      </c>
      <c r="H1265" s="21" t="s">
        <v>73</v>
      </c>
      <c r="I1265" s="21" t="s">
        <v>91</v>
      </c>
      <c r="J1265" s="13">
        <f>+MONTH(ExpenseTable[[#This Row],[Voucher Date]])</f>
        <v>12</v>
      </c>
      <c r="K1265" s="13" t="s">
        <v>1154</v>
      </c>
    </row>
    <row r="1266" spans="1:11" x14ac:dyDescent="0.35">
      <c r="A1266" s="15">
        <v>46003</v>
      </c>
      <c r="B1266" s="11" t="s">
        <v>1319</v>
      </c>
      <c r="C1266" s="19">
        <v>45994</v>
      </c>
      <c r="D1266" s="13" t="s">
        <v>1320</v>
      </c>
      <c r="E1266" s="12">
        <v>655000</v>
      </c>
      <c r="F1266" s="21" t="s">
        <v>22</v>
      </c>
      <c r="G1266" s="21" t="s">
        <v>72</v>
      </c>
      <c r="H1266" s="21" t="s">
        <v>73</v>
      </c>
      <c r="I1266" s="21" t="s">
        <v>1123</v>
      </c>
      <c r="J1266" s="13">
        <f>+MONTH(ExpenseTable[[#This Row],[Voucher Date]])</f>
        <v>12</v>
      </c>
      <c r="K1266" s="13" t="s">
        <v>1154</v>
      </c>
    </row>
    <row r="1267" spans="1:11" x14ac:dyDescent="0.35">
      <c r="A1267" s="15">
        <v>45994</v>
      </c>
      <c r="B1267" s="11" t="s">
        <v>1319</v>
      </c>
      <c r="C1267" s="19">
        <v>45994</v>
      </c>
      <c r="D1267" s="13" t="s">
        <v>1321</v>
      </c>
      <c r="E1267" s="12">
        <v>50100</v>
      </c>
      <c r="F1267" s="21" t="s">
        <v>35</v>
      </c>
      <c r="G1267" s="21" t="s">
        <v>72</v>
      </c>
      <c r="H1267" s="21" t="s">
        <v>73</v>
      </c>
      <c r="I1267" s="21" t="s">
        <v>1123</v>
      </c>
      <c r="J1267" s="13">
        <f>+MONTH(ExpenseTable[[#This Row],[Voucher Date]])</f>
        <v>12</v>
      </c>
      <c r="K1267" s="13" t="s">
        <v>1154</v>
      </c>
    </row>
    <row r="1268" spans="1:11" x14ac:dyDescent="0.35">
      <c r="A1268" s="15">
        <v>46000</v>
      </c>
      <c r="B1268" s="11" t="s">
        <v>1319</v>
      </c>
      <c r="C1268" s="19">
        <v>45994</v>
      </c>
      <c r="D1268" s="13" t="s">
        <v>1322</v>
      </c>
      <c r="E1268" s="12">
        <v>80000</v>
      </c>
      <c r="F1268" s="21" t="s">
        <v>35</v>
      </c>
      <c r="G1268" s="21" t="s">
        <v>72</v>
      </c>
      <c r="H1268" s="21" t="s">
        <v>73</v>
      </c>
      <c r="I1268" s="21" t="s">
        <v>1123</v>
      </c>
      <c r="J1268" s="13">
        <f>+MONTH(ExpenseTable[[#This Row],[Voucher Date]])</f>
        <v>12</v>
      </c>
      <c r="K1268" s="13" t="s">
        <v>1154</v>
      </c>
    </row>
    <row r="1269" spans="1:11" x14ac:dyDescent="0.35">
      <c r="A1269" s="15">
        <v>46001</v>
      </c>
      <c r="B1269" s="11" t="s">
        <v>1319</v>
      </c>
      <c r="C1269" s="19">
        <v>45994</v>
      </c>
      <c r="D1269" s="13" t="s">
        <v>1323</v>
      </c>
      <c r="E1269" s="12">
        <v>5000</v>
      </c>
      <c r="F1269" s="21" t="s">
        <v>54</v>
      </c>
      <c r="G1269" s="21" t="s">
        <v>1302</v>
      </c>
      <c r="H1269" s="21" t="s">
        <v>1303</v>
      </c>
      <c r="I1269" s="21" t="s">
        <v>1123</v>
      </c>
      <c r="J1269" s="13">
        <f>+MONTH(ExpenseTable[[#This Row],[Voucher Date]])</f>
        <v>12</v>
      </c>
      <c r="K1269" s="13" t="s">
        <v>1154</v>
      </c>
    </row>
    <row r="1270" spans="1:11" x14ac:dyDescent="0.35">
      <c r="A1270" s="15">
        <v>46002</v>
      </c>
      <c r="B1270" s="11" t="s">
        <v>1319</v>
      </c>
      <c r="C1270" s="19">
        <v>45994</v>
      </c>
      <c r="D1270" s="13" t="s">
        <v>1327</v>
      </c>
      <c r="E1270" s="12">
        <v>30000</v>
      </c>
      <c r="F1270" s="21" t="s">
        <v>40</v>
      </c>
      <c r="G1270" s="21" t="s">
        <v>72</v>
      </c>
      <c r="H1270" s="21" t="s">
        <v>73</v>
      </c>
      <c r="I1270" s="21" t="s">
        <v>1123</v>
      </c>
      <c r="J1270" s="13">
        <f>+MONTH(ExpenseTable[[#This Row],[Voucher Date]])</f>
        <v>12</v>
      </c>
      <c r="K1270" s="13" t="s">
        <v>1154</v>
      </c>
    </row>
    <row r="1271" spans="1:11" x14ac:dyDescent="0.35">
      <c r="A1271" s="15">
        <v>46004</v>
      </c>
      <c r="B1271" s="11" t="s">
        <v>1319</v>
      </c>
      <c r="C1271" s="19">
        <v>45994</v>
      </c>
      <c r="D1271" s="13" t="s">
        <v>1324</v>
      </c>
      <c r="E1271" s="12">
        <v>12500</v>
      </c>
      <c r="F1271" s="21" t="s">
        <v>54</v>
      </c>
      <c r="G1271" s="21" t="s">
        <v>72</v>
      </c>
      <c r="H1271" s="21" t="s">
        <v>73</v>
      </c>
      <c r="I1271" s="21" t="s">
        <v>1123</v>
      </c>
      <c r="J1271" s="13">
        <f>+MONTH(ExpenseTable[[#This Row],[Voucher Date]])</f>
        <v>12</v>
      </c>
      <c r="K1271" s="13" t="s">
        <v>1154</v>
      </c>
    </row>
    <row r="1272" spans="1:11" x14ac:dyDescent="0.35">
      <c r="A1272" s="15">
        <v>46004</v>
      </c>
      <c r="B1272" s="11" t="s">
        <v>1319</v>
      </c>
      <c r="C1272" s="19">
        <v>45994</v>
      </c>
      <c r="D1272" s="13" t="s">
        <v>1325</v>
      </c>
      <c r="E1272" s="12">
        <v>44003</v>
      </c>
      <c r="F1272" s="21" t="s">
        <v>33</v>
      </c>
      <c r="G1272" s="21" t="s">
        <v>72</v>
      </c>
      <c r="H1272" s="21" t="s">
        <v>73</v>
      </c>
      <c r="I1272" s="21" t="s">
        <v>1123</v>
      </c>
      <c r="J1272" s="13">
        <f>+MONTH(ExpenseTable[[#This Row],[Voucher Date]])</f>
        <v>12</v>
      </c>
      <c r="K1272" s="13" t="s">
        <v>1154</v>
      </c>
    </row>
    <row r="1273" spans="1:11" x14ac:dyDescent="0.35">
      <c r="A1273" s="15">
        <v>46010</v>
      </c>
      <c r="B1273" s="11" t="s">
        <v>1319</v>
      </c>
      <c r="C1273" s="19">
        <v>45994</v>
      </c>
      <c r="D1273" s="13" t="s">
        <v>1326</v>
      </c>
      <c r="E1273" s="12">
        <v>55350</v>
      </c>
      <c r="F1273" s="21" t="s">
        <v>19</v>
      </c>
      <c r="G1273" s="21" t="s">
        <v>72</v>
      </c>
      <c r="H1273" s="21" t="s">
        <v>73</v>
      </c>
      <c r="I1273" s="21" t="s">
        <v>1123</v>
      </c>
      <c r="J1273" s="13">
        <f>+MONTH(ExpenseTable[[#This Row],[Voucher Date]])</f>
        <v>12</v>
      </c>
      <c r="K1273" s="13" t="s">
        <v>1154</v>
      </c>
    </row>
    <row r="1274" spans="1:11" x14ac:dyDescent="0.35">
      <c r="A1274" s="15">
        <v>45995</v>
      </c>
      <c r="B1274" s="11" t="s">
        <v>1288</v>
      </c>
      <c r="C1274" s="19">
        <v>45994</v>
      </c>
      <c r="D1274" s="13" t="s">
        <v>1293</v>
      </c>
      <c r="E1274" s="12">
        <v>75000</v>
      </c>
      <c r="F1274" s="21" t="s">
        <v>33</v>
      </c>
      <c r="G1274" s="21" t="s">
        <v>72</v>
      </c>
      <c r="H1274" s="21" t="s">
        <v>73</v>
      </c>
      <c r="I1274" s="21" t="s">
        <v>91</v>
      </c>
      <c r="J1274" s="13">
        <f>+MONTH(ExpenseTable[[#This Row],[Voucher Date]])</f>
        <v>12</v>
      </c>
      <c r="K1274" s="13" t="s">
        <v>1154</v>
      </c>
    </row>
    <row r="1275" spans="1:11" x14ac:dyDescent="0.35">
      <c r="A1275" s="15">
        <v>45994</v>
      </c>
      <c r="B1275" s="11" t="s">
        <v>1288</v>
      </c>
      <c r="C1275" s="19">
        <v>45994</v>
      </c>
      <c r="D1275" s="13" t="s">
        <v>1292</v>
      </c>
      <c r="E1275" s="12">
        <v>193751.34</v>
      </c>
      <c r="F1275" s="21" t="s">
        <v>56</v>
      </c>
      <c r="G1275" s="21" t="s">
        <v>72</v>
      </c>
      <c r="H1275" s="21" t="s">
        <v>73</v>
      </c>
      <c r="I1275" s="21" t="s">
        <v>91</v>
      </c>
      <c r="J1275" s="13">
        <f>+MONTH(ExpenseTable[[#This Row],[Voucher Date]])</f>
        <v>12</v>
      </c>
      <c r="K1275" s="13" t="s">
        <v>1154</v>
      </c>
    </row>
    <row r="1276" spans="1:11" x14ac:dyDescent="0.35">
      <c r="A1276" s="15">
        <v>45994</v>
      </c>
      <c r="B1276" s="11" t="s">
        <v>1288</v>
      </c>
      <c r="C1276" s="19">
        <v>45994</v>
      </c>
      <c r="D1276" s="13" t="s">
        <v>1290</v>
      </c>
      <c r="E1276" s="12">
        <v>240000</v>
      </c>
      <c r="F1276" s="21" t="s">
        <v>54</v>
      </c>
      <c r="G1276" s="21" t="s">
        <v>1099</v>
      </c>
      <c r="H1276" s="21" t="s">
        <v>1101</v>
      </c>
      <c r="I1276" s="21" t="s">
        <v>91</v>
      </c>
      <c r="J1276" s="13">
        <f>+MONTH(ExpenseTable[[#This Row],[Voucher Date]])</f>
        <v>12</v>
      </c>
      <c r="K1276" s="13" t="s">
        <v>1154</v>
      </c>
    </row>
    <row r="1277" spans="1:11" x14ac:dyDescent="0.35">
      <c r="A1277" s="15">
        <v>45994</v>
      </c>
      <c r="B1277" s="11" t="s">
        <v>1288</v>
      </c>
      <c r="C1277" s="19">
        <v>45994</v>
      </c>
      <c r="D1277" s="13" t="s">
        <v>1289</v>
      </c>
      <c r="E1277" s="12">
        <v>275843.02</v>
      </c>
      <c r="F1277" s="21" t="s">
        <v>83</v>
      </c>
      <c r="G1277" s="21" t="s">
        <v>72</v>
      </c>
      <c r="H1277" s="21" t="s">
        <v>73</v>
      </c>
      <c r="I1277" s="21" t="s">
        <v>91</v>
      </c>
      <c r="J1277" s="13">
        <f>+MONTH(ExpenseTable[[#This Row],[Voucher Date]])</f>
        <v>12</v>
      </c>
      <c r="K1277" s="13" t="s">
        <v>1154</v>
      </c>
    </row>
    <row r="1278" spans="1:11" x14ac:dyDescent="0.35">
      <c r="A1278" s="15">
        <v>45995</v>
      </c>
      <c r="B1278" s="11" t="s">
        <v>1288</v>
      </c>
      <c r="C1278" s="19">
        <v>45994</v>
      </c>
      <c r="D1278" s="13" t="s">
        <v>1291</v>
      </c>
      <c r="E1278" s="12">
        <v>358000</v>
      </c>
      <c r="F1278" s="21" t="s">
        <v>50</v>
      </c>
      <c r="G1278" s="21" t="s">
        <v>72</v>
      </c>
      <c r="H1278" s="21" t="s">
        <v>73</v>
      </c>
      <c r="I1278" s="21" t="s">
        <v>91</v>
      </c>
      <c r="J1278" s="13">
        <f>+MONTH(ExpenseTable[[#This Row],[Voucher Date]])</f>
        <v>12</v>
      </c>
      <c r="K1278" s="13" t="s">
        <v>1154</v>
      </c>
    </row>
    <row r="1279" spans="1:11" x14ac:dyDescent="0.35">
      <c r="A1279" s="15">
        <v>45987</v>
      </c>
      <c r="B1279" s="11" t="s">
        <v>1211</v>
      </c>
      <c r="C1279" s="19">
        <v>45987</v>
      </c>
      <c r="D1279" s="13" t="s">
        <v>1213</v>
      </c>
      <c r="E1279" s="12">
        <v>5000</v>
      </c>
      <c r="F1279" s="21" t="s">
        <v>22</v>
      </c>
      <c r="G1279" s="21" t="s">
        <v>72</v>
      </c>
      <c r="H1279" s="21" t="s">
        <v>73</v>
      </c>
      <c r="I1279" s="21" t="s">
        <v>90</v>
      </c>
      <c r="J1279" s="13">
        <f>+MONTH(ExpenseTable[[#This Row],[Voucher Date]])</f>
        <v>11</v>
      </c>
      <c r="K1279" s="13" t="s">
        <v>108</v>
      </c>
    </row>
    <row r="1280" spans="1:11" x14ac:dyDescent="0.35">
      <c r="A1280" s="15">
        <v>45987</v>
      </c>
      <c r="B1280" s="11" t="s">
        <v>1211</v>
      </c>
      <c r="C1280" s="19">
        <v>45987</v>
      </c>
      <c r="D1280" s="13" t="s">
        <v>1212</v>
      </c>
      <c r="E1280" s="12">
        <v>6070</v>
      </c>
      <c r="F1280" s="21" t="s">
        <v>27</v>
      </c>
      <c r="G1280" s="21" t="s">
        <v>72</v>
      </c>
      <c r="H1280" s="21" t="s">
        <v>73</v>
      </c>
      <c r="I1280" s="21" t="s">
        <v>90</v>
      </c>
      <c r="J1280" s="13">
        <f>+MONTH(ExpenseTable[[#This Row],[Voucher Date]])</f>
        <v>11</v>
      </c>
      <c r="K1280" s="13" t="s">
        <v>108</v>
      </c>
    </row>
    <row r="1281" spans="1:11" x14ac:dyDescent="0.35">
      <c r="A1281" s="15">
        <v>45987</v>
      </c>
      <c r="B1281" s="11" t="s">
        <v>1211</v>
      </c>
      <c r="C1281" s="19">
        <v>45987</v>
      </c>
      <c r="D1281" s="13" t="s">
        <v>1214</v>
      </c>
      <c r="E1281" s="12">
        <v>20000</v>
      </c>
      <c r="F1281" s="21" t="s">
        <v>22</v>
      </c>
      <c r="G1281" s="21" t="s">
        <v>72</v>
      </c>
      <c r="H1281" s="21" t="s">
        <v>73</v>
      </c>
      <c r="I1281" s="21" t="s">
        <v>90</v>
      </c>
      <c r="J1281" s="13">
        <f>+MONTH(ExpenseTable[[#This Row],[Voucher Date]])</f>
        <v>11</v>
      </c>
      <c r="K1281" s="13" t="s">
        <v>108</v>
      </c>
    </row>
    <row r="1282" spans="1:11" x14ac:dyDescent="0.35">
      <c r="A1282" s="15">
        <v>45987</v>
      </c>
      <c r="B1282" s="11" t="s">
        <v>1211</v>
      </c>
      <c r="C1282" s="19">
        <v>45987</v>
      </c>
      <c r="D1282" s="13" t="s">
        <v>1216</v>
      </c>
      <c r="E1282" s="12">
        <v>60000</v>
      </c>
      <c r="F1282" s="21" t="s">
        <v>22</v>
      </c>
      <c r="G1282" s="21" t="s">
        <v>72</v>
      </c>
      <c r="H1282" s="21" t="s">
        <v>73</v>
      </c>
      <c r="I1282" s="21" t="s">
        <v>90</v>
      </c>
      <c r="J1282" s="13">
        <f>+MONTH(ExpenseTable[[#This Row],[Voucher Date]])</f>
        <v>11</v>
      </c>
      <c r="K1282" s="13" t="s">
        <v>108</v>
      </c>
    </row>
    <row r="1283" spans="1:11" x14ac:dyDescent="0.35">
      <c r="A1283" s="15">
        <v>45987</v>
      </c>
      <c r="B1283" s="11" t="s">
        <v>1211</v>
      </c>
      <c r="C1283" s="19">
        <v>45987</v>
      </c>
      <c r="D1283" s="13" t="s">
        <v>1215</v>
      </c>
      <c r="E1283" s="12">
        <v>80000</v>
      </c>
      <c r="F1283" s="21" t="s">
        <v>23</v>
      </c>
      <c r="G1283" s="21" t="s">
        <v>72</v>
      </c>
      <c r="H1283" s="21" t="s">
        <v>73</v>
      </c>
      <c r="I1283" s="21" t="s">
        <v>90</v>
      </c>
      <c r="J1283" s="13">
        <f>+MONTH(ExpenseTable[[#This Row],[Voucher Date]])</f>
        <v>11</v>
      </c>
      <c r="K1283" s="13" t="s">
        <v>108</v>
      </c>
    </row>
    <row r="1284" spans="1:11" x14ac:dyDescent="0.35">
      <c r="A1284" s="15">
        <v>45987</v>
      </c>
      <c r="B1284" s="11" t="s">
        <v>1211</v>
      </c>
      <c r="C1284" s="19">
        <v>45987</v>
      </c>
      <c r="D1284" s="13" t="s">
        <v>1342</v>
      </c>
      <c r="E1284" s="12">
        <v>5000</v>
      </c>
      <c r="F1284" s="21" t="s">
        <v>1343</v>
      </c>
      <c r="G1284" s="21" t="s">
        <v>72</v>
      </c>
      <c r="H1284" s="21" t="s">
        <v>73</v>
      </c>
      <c r="I1284" s="21" t="s">
        <v>90</v>
      </c>
      <c r="J1284" s="13">
        <f>+MONTH(ExpenseTable[[#This Row],[Voucher Date]])</f>
        <v>11</v>
      </c>
      <c r="K1284" s="13" t="s">
        <v>108</v>
      </c>
    </row>
    <row r="1285" spans="1:11" x14ac:dyDescent="0.35">
      <c r="A1285" s="15">
        <v>45924</v>
      </c>
      <c r="B1285" s="11" t="s">
        <v>1070</v>
      </c>
      <c r="C1285" s="19">
        <v>45924</v>
      </c>
      <c r="D1285" s="13" t="s">
        <v>288</v>
      </c>
      <c r="E1285" s="12">
        <v>20000</v>
      </c>
      <c r="F1285" s="21" t="s">
        <v>40</v>
      </c>
      <c r="G1285" s="21" t="s">
        <v>67</v>
      </c>
      <c r="H1285" s="21" t="s">
        <v>79</v>
      </c>
      <c r="I1285" s="21" t="s">
        <v>90</v>
      </c>
      <c r="J1285" s="13">
        <f>+MONTH(ExpenseTable[[#This Row],[Voucher Date]])</f>
        <v>9</v>
      </c>
      <c r="K1285" s="13" t="s">
        <v>1039</v>
      </c>
    </row>
    <row r="1286" spans="1:11" x14ac:dyDescent="0.35">
      <c r="A1286" s="15">
        <v>45924</v>
      </c>
      <c r="B1286" s="11" t="s">
        <v>1070</v>
      </c>
      <c r="C1286" s="19">
        <v>45924</v>
      </c>
      <c r="D1286" s="13" t="s">
        <v>1071</v>
      </c>
      <c r="E1286" s="12">
        <v>50000</v>
      </c>
      <c r="F1286" s="21" t="s">
        <v>30</v>
      </c>
      <c r="G1286" s="21" t="s">
        <v>72</v>
      </c>
      <c r="H1286" s="21" t="s">
        <v>73</v>
      </c>
      <c r="I1286" s="21" t="s">
        <v>90</v>
      </c>
      <c r="J1286" s="13">
        <f>+MONTH(ExpenseTable[[#This Row],[Voucher Date]])</f>
        <v>9</v>
      </c>
      <c r="K1286" s="13" t="s">
        <v>1039</v>
      </c>
    </row>
    <row r="1287" spans="1:11" x14ac:dyDescent="0.35">
      <c r="A1287" s="15">
        <v>45924</v>
      </c>
      <c r="B1287" s="11" t="s">
        <v>1070</v>
      </c>
      <c r="C1287" s="19">
        <v>45924</v>
      </c>
      <c r="D1287" s="13" t="s">
        <v>1072</v>
      </c>
      <c r="E1287" s="12">
        <v>74000</v>
      </c>
      <c r="F1287" s="21" t="s">
        <v>22</v>
      </c>
      <c r="G1287" s="21" t="s">
        <v>72</v>
      </c>
      <c r="H1287" s="21" t="s">
        <v>73</v>
      </c>
      <c r="I1287" s="21" t="s">
        <v>90</v>
      </c>
      <c r="J1287" s="13">
        <f>+MONTH(ExpenseTable[[#This Row],[Voucher Date]])</f>
        <v>9</v>
      </c>
      <c r="K1287" s="13" t="s">
        <v>1039</v>
      </c>
    </row>
    <row r="1288" spans="1:11" x14ac:dyDescent="0.35">
      <c r="A1288" s="15">
        <v>45906</v>
      </c>
      <c r="B1288" s="11" t="s">
        <v>1021</v>
      </c>
      <c r="C1288" s="19">
        <v>45906</v>
      </c>
      <c r="D1288" s="13" t="s">
        <v>1024</v>
      </c>
      <c r="E1288" s="12">
        <v>10000</v>
      </c>
      <c r="F1288" s="21" t="s">
        <v>54</v>
      </c>
      <c r="G1288" s="21" t="s">
        <v>80</v>
      </c>
      <c r="H1288" s="21" t="s">
        <v>89</v>
      </c>
      <c r="I1288" s="21" t="s">
        <v>1123</v>
      </c>
      <c r="J1288" s="13">
        <f>+MONTH(ExpenseTable[[#This Row],[Voucher Date]])</f>
        <v>9</v>
      </c>
      <c r="K1288" s="13" t="s">
        <v>1015</v>
      </c>
    </row>
    <row r="1289" spans="1:11" x14ac:dyDescent="0.35">
      <c r="A1289" s="15">
        <v>45906</v>
      </c>
      <c r="B1289" s="11" t="s">
        <v>1021</v>
      </c>
      <c r="C1289" s="19">
        <v>45906</v>
      </c>
      <c r="D1289" s="13" t="s">
        <v>1022</v>
      </c>
      <c r="E1289" s="12">
        <v>15000</v>
      </c>
      <c r="F1289" s="21" t="s">
        <v>54</v>
      </c>
      <c r="G1289" s="21" t="s">
        <v>80</v>
      </c>
      <c r="H1289" s="21" t="s">
        <v>89</v>
      </c>
      <c r="I1289" s="21" t="s">
        <v>1123</v>
      </c>
      <c r="J1289" s="13">
        <f>+MONTH(ExpenseTable[[#This Row],[Voucher Date]])</f>
        <v>9</v>
      </c>
      <c r="K1289" s="13" t="s">
        <v>1015</v>
      </c>
    </row>
    <row r="1290" spans="1:11" x14ac:dyDescent="0.35">
      <c r="A1290" s="15">
        <v>45906</v>
      </c>
      <c r="B1290" s="11" t="s">
        <v>1021</v>
      </c>
      <c r="C1290" s="19">
        <v>45906</v>
      </c>
      <c r="D1290" s="13" t="s">
        <v>1023</v>
      </c>
      <c r="E1290" s="12">
        <v>30600</v>
      </c>
      <c r="F1290" s="21" t="s">
        <v>54</v>
      </c>
      <c r="G1290" s="21" t="s">
        <v>80</v>
      </c>
      <c r="H1290" s="21" t="s">
        <v>89</v>
      </c>
      <c r="I1290" s="21" t="s">
        <v>1123</v>
      </c>
      <c r="J1290" s="13">
        <f>+MONTH(ExpenseTable[[#This Row],[Voucher Date]])</f>
        <v>9</v>
      </c>
      <c r="K1290" s="13" t="s">
        <v>1015</v>
      </c>
    </row>
    <row r="1291" spans="1:11" x14ac:dyDescent="0.35">
      <c r="A1291" s="15">
        <v>45923</v>
      </c>
      <c r="B1291" s="11" t="s">
        <v>1029</v>
      </c>
      <c r="C1291" s="19">
        <v>45916</v>
      </c>
      <c r="D1291" s="13" t="s">
        <v>1028</v>
      </c>
      <c r="E1291" s="12">
        <v>3700</v>
      </c>
      <c r="F1291" s="21" t="s">
        <v>54</v>
      </c>
      <c r="G1291" s="21" t="s">
        <v>72</v>
      </c>
      <c r="H1291" s="21" t="s">
        <v>73</v>
      </c>
      <c r="I1291" s="21" t="s">
        <v>90</v>
      </c>
      <c r="J1291" s="13">
        <f>+MONTH(ExpenseTable[[#This Row],[Voucher Date]])</f>
        <v>9</v>
      </c>
      <c r="K1291" s="13" t="s">
        <v>1015</v>
      </c>
    </row>
    <row r="1292" spans="1:11" x14ac:dyDescent="0.35">
      <c r="A1292" s="15">
        <v>45916</v>
      </c>
      <c r="B1292" s="11" t="s">
        <v>1029</v>
      </c>
      <c r="C1292" s="19">
        <v>45916</v>
      </c>
      <c r="D1292" s="13" t="s">
        <v>1025</v>
      </c>
      <c r="E1292" s="12">
        <v>5000</v>
      </c>
      <c r="F1292" s="21" t="s">
        <v>54</v>
      </c>
      <c r="G1292" s="21" t="s">
        <v>1016</v>
      </c>
      <c r="H1292" s="21" t="s">
        <v>79</v>
      </c>
      <c r="I1292" s="21" t="s">
        <v>90</v>
      </c>
      <c r="J1292" s="13">
        <f>+MONTH(ExpenseTable[[#This Row],[Voucher Date]])</f>
        <v>9</v>
      </c>
      <c r="K1292" s="13" t="s">
        <v>1015</v>
      </c>
    </row>
    <row r="1293" spans="1:11" x14ac:dyDescent="0.35">
      <c r="A1293" s="15">
        <v>45917</v>
      </c>
      <c r="B1293" s="11" t="s">
        <v>1029</v>
      </c>
      <c r="C1293" s="19">
        <v>45916</v>
      </c>
      <c r="D1293" s="13" t="s">
        <v>1026</v>
      </c>
      <c r="E1293" s="12">
        <v>5900</v>
      </c>
      <c r="F1293" s="21" t="s">
        <v>54</v>
      </c>
      <c r="G1293" s="21" t="s">
        <v>72</v>
      </c>
      <c r="H1293" s="21" t="s">
        <v>73</v>
      </c>
      <c r="I1293" s="21" t="s">
        <v>90</v>
      </c>
      <c r="J1293" s="13">
        <f>+MONTH(ExpenseTable[[#This Row],[Voucher Date]])</f>
        <v>9</v>
      </c>
      <c r="K1293" s="13" t="s">
        <v>1015</v>
      </c>
    </row>
    <row r="1294" spans="1:11" x14ac:dyDescent="0.35">
      <c r="A1294" s="15">
        <v>45916</v>
      </c>
      <c r="B1294" s="11" t="s">
        <v>1029</v>
      </c>
      <c r="C1294" s="19">
        <v>45916</v>
      </c>
      <c r="D1294" s="13" t="s">
        <v>288</v>
      </c>
      <c r="E1294" s="12">
        <v>30000</v>
      </c>
      <c r="F1294" s="21" t="s">
        <v>40</v>
      </c>
      <c r="G1294" s="21" t="s">
        <v>67</v>
      </c>
      <c r="H1294" s="21" t="s">
        <v>79</v>
      </c>
      <c r="I1294" s="21" t="s">
        <v>90</v>
      </c>
      <c r="J1294" s="13">
        <f>+MONTH(ExpenseTable[[#This Row],[Voucher Date]])</f>
        <v>9</v>
      </c>
      <c r="K1294" s="13" t="s">
        <v>1015</v>
      </c>
    </row>
    <row r="1295" spans="1:11" x14ac:dyDescent="0.35">
      <c r="A1295" s="15">
        <v>45922</v>
      </c>
      <c r="B1295" s="11" t="s">
        <v>1029</v>
      </c>
      <c r="C1295" s="19">
        <v>45916</v>
      </c>
      <c r="D1295" s="13" t="s">
        <v>1027</v>
      </c>
      <c r="E1295" s="12">
        <v>30900</v>
      </c>
      <c r="F1295" s="21" t="s">
        <v>54</v>
      </c>
      <c r="G1295" s="21" t="s">
        <v>72</v>
      </c>
      <c r="H1295" s="21" t="s">
        <v>73</v>
      </c>
      <c r="I1295" s="21" t="s">
        <v>90</v>
      </c>
      <c r="J1295" s="13">
        <f>+MONTH(ExpenseTable[[#This Row],[Voucher Date]])</f>
        <v>9</v>
      </c>
      <c r="K1295" s="13" t="s">
        <v>1015</v>
      </c>
    </row>
    <row r="1296" spans="1:11" x14ac:dyDescent="0.35">
      <c r="A1296" s="15">
        <v>45919</v>
      </c>
      <c r="B1296" s="11" t="s">
        <v>1029</v>
      </c>
      <c r="C1296" s="19">
        <v>45916</v>
      </c>
      <c r="D1296" s="13" t="s">
        <v>288</v>
      </c>
      <c r="E1296" s="12">
        <v>40000</v>
      </c>
      <c r="F1296" s="21" t="s">
        <v>40</v>
      </c>
      <c r="G1296" s="21" t="s">
        <v>67</v>
      </c>
      <c r="H1296" s="21" t="s">
        <v>79</v>
      </c>
      <c r="I1296" s="21" t="s">
        <v>90</v>
      </c>
      <c r="J1296" s="13">
        <f>+MONTH(ExpenseTable[[#This Row],[Voucher Date]])</f>
        <v>9</v>
      </c>
      <c r="K1296" s="13" t="s">
        <v>1015</v>
      </c>
    </row>
    <row r="1297" spans="1:11" x14ac:dyDescent="0.35">
      <c r="A1297" s="15">
        <v>45859</v>
      </c>
      <c r="B1297" s="11" t="s">
        <v>1344</v>
      </c>
      <c r="C1297" s="19">
        <v>45859</v>
      </c>
      <c r="D1297" s="13" t="s">
        <v>1025</v>
      </c>
      <c r="E1297" s="12">
        <v>4000</v>
      </c>
      <c r="F1297" s="21" t="s">
        <v>54</v>
      </c>
      <c r="G1297" s="21" t="s">
        <v>915</v>
      </c>
      <c r="H1297" s="21" t="s">
        <v>914</v>
      </c>
      <c r="I1297" s="21" t="s">
        <v>90</v>
      </c>
      <c r="J1297" s="13">
        <f>+MONTH(ExpenseTable[[#This Row],[Voucher Date]])</f>
        <v>7</v>
      </c>
      <c r="K1297" s="13" t="s">
        <v>1015</v>
      </c>
    </row>
    <row r="1298" spans="1:11" x14ac:dyDescent="0.35">
      <c r="A1298" s="15">
        <v>45870</v>
      </c>
      <c r="B1298" s="11" t="s">
        <v>1345</v>
      </c>
      <c r="C1298" s="19">
        <v>45870</v>
      </c>
      <c r="D1298" s="13" t="s">
        <v>1346</v>
      </c>
      <c r="E1298" s="12">
        <v>80000</v>
      </c>
      <c r="F1298" s="21"/>
      <c r="G1298" s="21" t="s">
        <v>72</v>
      </c>
      <c r="H1298" s="21" t="s">
        <v>73</v>
      </c>
      <c r="I1298" s="21" t="s">
        <v>90</v>
      </c>
      <c r="J1298" s="13">
        <f>+MONTH(ExpenseTable[[#This Row],[Voucher Date]])</f>
        <v>8</v>
      </c>
      <c r="K1298" s="13" t="s">
        <v>238</v>
      </c>
    </row>
    <row r="1299" spans="1:11" x14ac:dyDescent="0.35">
      <c r="A1299" s="15">
        <v>45870</v>
      </c>
      <c r="B1299" s="11" t="s">
        <v>1345</v>
      </c>
      <c r="C1299" s="19">
        <v>45870</v>
      </c>
      <c r="D1299" s="13" t="s">
        <v>1347</v>
      </c>
      <c r="E1299" s="12">
        <v>10000</v>
      </c>
      <c r="F1299" s="21"/>
      <c r="G1299" s="21" t="s">
        <v>72</v>
      </c>
      <c r="H1299" s="21" t="s">
        <v>73</v>
      </c>
      <c r="I1299" s="21" t="s">
        <v>90</v>
      </c>
      <c r="J1299" s="13">
        <f>+MONTH(ExpenseTable[[#This Row],[Voucher Date]])</f>
        <v>8</v>
      </c>
      <c r="K1299" s="13" t="s">
        <v>238</v>
      </c>
    </row>
    <row r="1300" spans="1:11" x14ac:dyDescent="0.35">
      <c r="A1300" s="15">
        <v>45873</v>
      </c>
      <c r="B1300" s="11" t="s">
        <v>1345</v>
      </c>
      <c r="C1300" s="19">
        <v>45870</v>
      </c>
      <c r="D1300" s="13" t="s">
        <v>1348</v>
      </c>
      <c r="E1300" s="12">
        <v>30000</v>
      </c>
      <c r="F1300" s="21"/>
      <c r="G1300" s="21" t="s">
        <v>72</v>
      </c>
      <c r="H1300" s="21" t="s">
        <v>73</v>
      </c>
      <c r="I1300" s="21" t="s">
        <v>90</v>
      </c>
      <c r="J1300" s="13">
        <f>+MONTH(ExpenseTable[[#This Row],[Voucher Date]])</f>
        <v>8</v>
      </c>
      <c r="K1300" s="13" t="s">
        <v>238</v>
      </c>
    </row>
    <row r="1301" spans="1:11" x14ac:dyDescent="0.35">
      <c r="A1301" s="15">
        <v>45870</v>
      </c>
      <c r="B1301" s="11" t="s">
        <v>1345</v>
      </c>
      <c r="C1301" s="19">
        <v>45870</v>
      </c>
      <c r="D1301" s="13" t="s">
        <v>1349</v>
      </c>
      <c r="E1301" s="12">
        <v>8000</v>
      </c>
      <c r="F1301" s="21"/>
      <c r="G1301" s="21" t="s">
        <v>72</v>
      </c>
      <c r="H1301" s="21" t="s">
        <v>73</v>
      </c>
      <c r="I1301" s="21" t="s">
        <v>90</v>
      </c>
      <c r="J1301" s="13">
        <f>+MONTH(ExpenseTable[[#This Row],[Voucher Date]])</f>
        <v>8</v>
      </c>
      <c r="K1301" s="13" t="s">
        <v>238</v>
      </c>
    </row>
    <row r="1302" spans="1:11" x14ac:dyDescent="0.35">
      <c r="A1302" s="15">
        <v>45873</v>
      </c>
      <c r="B1302" s="11" t="s">
        <v>1345</v>
      </c>
      <c r="C1302" s="19">
        <v>45870</v>
      </c>
      <c r="D1302" s="13" t="s">
        <v>1350</v>
      </c>
      <c r="E1302" s="12">
        <v>14500</v>
      </c>
      <c r="F1302" s="21"/>
      <c r="G1302" s="21" t="s">
        <v>1354</v>
      </c>
      <c r="H1302" s="21" t="s">
        <v>914</v>
      </c>
      <c r="I1302" s="21" t="s">
        <v>90</v>
      </c>
      <c r="J1302" s="13">
        <f>+MONTH(ExpenseTable[[#This Row],[Voucher Date]])</f>
        <v>8</v>
      </c>
      <c r="K1302" s="13" t="s">
        <v>238</v>
      </c>
    </row>
    <row r="1303" spans="1:11" x14ac:dyDescent="0.35">
      <c r="A1303" s="15">
        <v>45873</v>
      </c>
      <c r="B1303" s="11" t="s">
        <v>1345</v>
      </c>
      <c r="C1303" s="19">
        <v>45870</v>
      </c>
      <c r="D1303" s="13" t="s">
        <v>1351</v>
      </c>
      <c r="E1303" s="12">
        <v>56000</v>
      </c>
      <c r="F1303" s="21"/>
      <c r="G1303" s="21" t="s">
        <v>72</v>
      </c>
      <c r="H1303" s="21" t="s">
        <v>73</v>
      </c>
      <c r="I1303" s="21" t="s">
        <v>90</v>
      </c>
      <c r="J1303" s="13">
        <f>+MONTH(ExpenseTable[[#This Row],[Voucher Date]])</f>
        <v>8</v>
      </c>
      <c r="K1303" s="13" t="s">
        <v>238</v>
      </c>
    </row>
    <row r="1304" spans="1:11" x14ac:dyDescent="0.35">
      <c r="A1304" s="15">
        <v>45874</v>
      </c>
      <c r="B1304" s="11" t="s">
        <v>1345</v>
      </c>
      <c r="C1304" s="19">
        <v>45870</v>
      </c>
      <c r="D1304" s="13" t="s">
        <v>1352</v>
      </c>
      <c r="E1304" s="12">
        <v>8000</v>
      </c>
      <c r="F1304" s="21"/>
      <c r="G1304" s="21" t="s">
        <v>72</v>
      </c>
      <c r="H1304" s="21" t="s">
        <v>73</v>
      </c>
      <c r="I1304" s="21" t="s">
        <v>90</v>
      </c>
      <c r="J1304" s="13">
        <f>+MONTH(ExpenseTable[[#This Row],[Voucher Date]])</f>
        <v>8</v>
      </c>
      <c r="K1304" s="13" t="s">
        <v>238</v>
      </c>
    </row>
    <row r="1305" spans="1:11" x14ac:dyDescent="0.35">
      <c r="A1305" s="15">
        <v>45876</v>
      </c>
      <c r="B1305" s="11" t="s">
        <v>1345</v>
      </c>
      <c r="C1305" s="19">
        <v>45870</v>
      </c>
      <c r="D1305" s="13" t="s">
        <v>1353</v>
      </c>
      <c r="E1305" s="12">
        <v>50000</v>
      </c>
      <c r="F1305" s="21"/>
      <c r="G1305" s="21" t="s">
        <v>72</v>
      </c>
      <c r="H1305" s="21" t="s">
        <v>73</v>
      </c>
      <c r="I1305" s="21" t="s">
        <v>90</v>
      </c>
      <c r="J1305" s="13">
        <f>+MONTH(ExpenseTable[[#This Row],[Voucher Date]])</f>
        <v>8</v>
      </c>
      <c r="K1305" s="13" t="s">
        <v>238</v>
      </c>
    </row>
    <row r="1306" spans="1:11" x14ac:dyDescent="0.35">
      <c r="A1306" s="15">
        <v>45871</v>
      </c>
      <c r="B1306" s="11" t="s">
        <v>1355</v>
      </c>
      <c r="C1306" s="19">
        <v>45873</v>
      </c>
      <c r="D1306" s="13" t="s">
        <v>1356</v>
      </c>
      <c r="E1306" s="12">
        <v>200000</v>
      </c>
      <c r="F1306" s="21" t="s">
        <v>5</v>
      </c>
      <c r="G1306" s="21" t="s">
        <v>72</v>
      </c>
      <c r="H1306" s="21" t="s">
        <v>73</v>
      </c>
      <c r="I1306" s="21" t="s">
        <v>91</v>
      </c>
      <c r="J1306" s="13">
        <f>+MONTH(ExpenseTable[[#This Row],[Voucher Date]])</f>
        <v>8</v>
      </c>
      <c r="K1306" s="13" t="s">
        <v>238</v>
      </c>
    </row>
    <row r="1307" spans="1:11" x14ac:dyDescent="0.35">
      <c r="A1307" s="15">
        <v>45872</v>
      </c>
      <c r="B1307" s="11" t="s">
        <v>1355</v>
      </c>
      <c r="C1307" s="19">
        <v>45873</v>
      </c>
      <c r="D1307" s="13" t="s">
        <v>1357</v>
      </c>
      <c r="E1307" s="12">
        <v>310000</v>
      </c>
      <c r="F1307" s="21" t="s">
        <v>54</v>
      </c>
      <c r="G1307" s="21" t="s">
        <v>80</v>
      </c>
      <c r="H1307" s="21" t="s">
        <v>79</v>
      </c>
      <c r="I1307" s="21" t="s">
        <v>91</v>
      </c>
      <c r="J1307" s="13">
        <f>+MONTH(ExpenseTable[[#This Row],[Voucher Date]])</f>
        <v>8</v>
      </c>
      <c r="K1307" s="13" t="s">
        <v>238</v>
      </c>
    </row>
    <row r="1308" spans="1:11" x14ac:dyDescent="0.35">
      <c r="A1308" s="15">
        <v>45781</v>
      </c>
      <c r="B1308" s="11" t="s">
        <v>1355</v>
      </c>
      <c r="C1308" s="19">
        <v>45873</v>
      </c>
      <c r="D1308" s="13" t="s">
        <v>1358</v>
      </c>
      <c r="E1308" s="12">
        <v>663645</v>
      </c>
      <c r="F1308" s="21" t="s">
        <v>54</v>
      </c>
      <c r="G1308" s="21" t="s">
        <v>1362</v>
      </c>
      <c r="H1308" s="21" t="s">
        <v>73</v>
      </c>
      <c r="I1308" s="21" t="s">
        <v>91</v>
      </c>
      <c r="J1308" s="13">
        <f>+MONTH(ExpenseTable[[#This Row],[Voucher Date]])</f>
        <v>8</v>
      </c>
      <c r="K1308" s="13" t="s">
        <v>238</v>
      </c>
    </row>
    <row r="1309" spans="1:11" x14ac:dyDescent="0.35">
      <c r="A1309" s="15">
        <v>45874</v>
      </c>
      <c r="B1309" s="11" t="s">
        <v>1355</v>
      </c>
      <c r="C1309" s="19">
        <v>45873</v>
      </c>
      <c r="D1309" s="13" t="s">
        <v>178</v>
      </c>
      <c r="E1309" s="12">
        <v>90000</v>
      </c>
      <c r="F1309" s="21" t="s">
        <v>40</v>
      </c>
      <c r="G1309" s="21" t="s">
        <v>72</v>
      </c>
      <c r="H1309" s="21" t="s">
        <v>73</v>
      </c>
      <c r="I1309" s="21" t="s">
        <v>91</v>
      </c>
      <c r="J1309" s="13">
        <f>+MONTH(ExpenseTable[[#This Row],[Voucher Date]])</f>
        <v>8</v>
      </c>
      <c r="K1309" s="13" t="s">
        <v>238</v>
      </c>
    </row>
    <row r="1310" spans="1:11" x14ac:dyDescent="0.35">
      <c r="A1310" s="15">
        <v>45874</v>
      </c>
      <c r="B1310" s="11" t="s">
        <v>1355</v>
      </c>
      <c r="C1310" s="19">
        <v>45873</v>
      </c>
      <c r="D1310" s="13" t="s">
        <v>1359</v>
      </c>
      <c r="E1310" s="12">
        <v>10000</v>
      </c>
      <c r="F1310" s="21" t="s">
        <v>21</v>
      </c>
      <c r="G1310" s="21" t="s">
        <v>72</v>
      </c>
      <c r="H1310" s="21" t="s">
        <v>73</v>
      </c>
      <c r="I1310" s="21" t="s">
        <v>91</v>
      </c>
      <c r="J1310" s="13">
        <f>+MONTH(ExpenseTable[[#This Row],[Voucher Date]])</f>
        <v>8</v>
      </c>
      <c r="K1310" s="13" t="s">
        <v>238</v>
      </c>
    </row>
    <row r="1311" spans="1:11" x14ac:dyDescent="0.35">
      <c r="A1311" s="15">
        <v>45873</v>
      </c>
      <c r="B1311" s="11" t="s">
        <v>1355</v>
      </c>
      <c r="C1311" s="19">
        <v>45873</v>
      </c>
      <c r="D1311" s="13" t="s">
        <v>1360</v>
      </c>
      <c r="E1311" s="12">
        <v>152000</v>
      </c>
      <c r="F1311" s="21" t="s">
        <v>54</v>
      </c>
      <c r="G1311" s="21" t="s">
        <v>72</v>
      </c>
      <c r="H1311" s="21" t="s">
        <v>73</v>
      </c>
      <c r="I1311" s="21" t="s">
        <v>91</v>
      </c>
      <c r="J1311" s="13">
        <f>+MONTH(ExpenseTable[[#This Row],[Voucher Date]])</f>
        <v>8</v>
      </c>
      <c r="K1311" s="13" t="s">
        <v>238</v>
      </c>
    </row>
    <row r="1312" spans="1:11" x14ac:dyDescent="0.35">
      <c r="A1312" s="15">
        <v>45885</v>
      </c>
      <c r="B1312" s="11" t="s">
        <v>1355</v>
      </c>
      <c r="C1312" s="19">
        <v>45873</v>
      </c>
      <c r="D1312" s="13" t="s">
        <v>363</v>
      </c>
      <c r="E1312" s="12">
        <v>200000</v>
      </c>
      <c r="F1312" s="21" t="s">
        <v>54</v>
      </c>
      <c r="G1312" s="21" t="s">
        <v>72</v>
      </c>
      <c r="H1312" s="21" t="s">
        <v>73</v>
      </c>
      <c r="I1312" s="21" t="s">
        <v>91</v>
      </c>
      <c r="J1312" s="13">
        <f>+MONTH(ExpenseTable[[#This Row],[Voucher Date]])</f>
        <v>8</v>
      </c>
      <c r="K1312" s="13" t="s">
        <v>238</v>
      </c>
    </row>
    <row r="1313" spans="1:11" x14ac:dyDescent="0.35">
      <c r="A1313" s="15">
        <v>45887</v>
      </c>
      <c r="B1313" s="11" t="s">
        <v>1355</v>
      </c>
      <c r="C1313" s="19">
        <v>45873</v>
      </c>
      <c r="D1313" s="13" t="s">
        <v>1361</v>
      </c>
      <c r="E1313" s="12">
        <v>650000</v>
      </c>
      <c r="F1313" s="21" t="s">
        <v>34</v>
      </c>
      <c r="G1313" s="21" t="s">
        <v>72</v>
      </c>
      <c r="H1313" s="21" t="s">
        <v>73</v>
      </c>
      <c r="I1313" s="21" t="s">
        <v>91</v>
      </c>
      <c r="J1313" s="13">
        <f>+MONTH(ExpenseTable[[#This Row],[Voucher Date]])</f>
        <v>8</v>
      </c>
      <c r="K1313" s="13" t="s">
        <v>238</v>
      </c>
    </row>
    <row r="1314" spans="1:11" x14ac:dyDescent="0.35">
      <c r="A1314" s="15">
        <v>45876</v>
      </c>
      <c r="B1314" s="11" t="s">
        <v>1363</v>
      </c>
      <c r="C1314" s="19">
        <v>45880</v>
      </c>
      <c r="D1314" s="13" t="s">
        <v>1364</v>
      </c>
      <c r="E1314" s="12">
        <v>30000</v>
      </c>
      <c r="F1314" s="21" t="s">
        <v>54</v>
      </c>
      <c r="G1314" s="21" t="s">
        <v>72</v>
      </c>
      <c r="H1314" s="21" t="s">
        <v>73</v>
      </c>
      <c r="I1314" s="21" t="s">
        <v>91</v>
      </c>
      <c r="J1314" s="13">
        <f>+MONTH(ExpenseTable[[#This Row],[Voucher Date]])</f>
        <v>8</v>
      </c>
      <c r="K1314" s="13" t="s">
        <v>238</v>
      </c>
    </row>
    <row r="1315" spans="1:11" x14ac:dyDescent="0.35">
      <c r="A1315" s="15">
        <v>45876</v>
      </c>
      <c r="B1315" s="11" t="s">
        <v>1363</v>
      </c>
      <c r="C1315" s="19">
        <v>45880</v>
      </c>
      <c r="D1315" s="13" t="s">
        <v>1365</v>
      </c>
      <c r="E1315" s="12">
        <v>40000</v>
      </c>
      <c r="F1315" s="21" t="s">
        <v>1103</v>
      </c>
      <c r="G1315" s="21" t="s">
        <v>72</v>
      </c>
      <c r="H1315" s="21" t="s">
        <v>73</v>
      </c>
      <c r="I1315" s="21" t="s">
        <v>91</v>
      </c>
      <c r="J1315" s="13">
        <f>+MONTH(ExpenseTable[[#This Row],[Voucher Date]])</f>
        <v>8</v>
      </c>
      <c r="K1315" s="13" t="s">
        <v>238</v>
      </c>
    </row>
    <row r="1316" spans="1:11" x14ac:dyDescent="0.35">
      <c r="A1316" s="15">
        <v>45877</v>
      </c>
      <c r="B1316" s="11" t="s">
        <v>1363</v>
      </c>
      <c r="C1316" s="19">
        <v>45880</v>
      </c>
      <c r="D1316" s="13" t="s">
        <v>1366</v>
      </c>
      <c r="E1316" s="12">
        <v>50000</v>
      </c>
      <c r="F1316" s="21" t="s">
        <v>54</v>
      </c>
      <c r="G1316" s="21" t="s">
        <v>72</v>
      </c>
      <c r="H1316" s="21" t="s">
        <v>73</v>
      </c>
      <c r="I1316" s="21" t="s">
        <v>91</v>
      </c>
      <c r="J1316" s="13">
        <f>+MONTH(ExpenseTable[[#This Row],[Voucher Date]])</f>
        <v>8</v>
      </c>
      <c r="K1316" s="13" t="s">
        <v>238</v>
      </c>
    </row>
    <row r="1317" spans="1:11" x14ac:dyDescent="0.35">
      <c r="A1317" s="15">
        <v>45877</v>
      </c>
      <c r="B1317" s="11" t="s">
        <v>1363</v>
      </c>
      <c r="C1317" s="19">
        <v>45880</v>
      </c>
      <c r="D1317" s="13" t="s">
        <v>1367</v>
      </c>
      <c r="E1317" s="12">
        <v>116000</v>
      </c>
      <c r="F1317" s="21" t="s">
        <v>54</v>
      </c>
      <c r="G1317" s="21" t="s">
        <v>80</v>
      </c>
      <c r="H1317" s="21" t="s">
        <v>78</v>
      </c>
      <c r="I1317" s="21" t="s">
        <v>91</v>
      </c>
      <c r="J1317" s="13">
        <f>+MONTH(ExpenseTable[[#This Row],[Voucher Date]])</f>
        <v>8</v>
      </c>
      <c r="K1317" s="13" t="s">
        <v>238</v>
      </c>
    </row>
    <row r="1318" spans="1:11" x14ac:dyDescent="0.35">
      <c r="A1318" s="15">
        <v>45880</v>
      </c>
      <c r="B1318" s="11" t="s">
        <v>1363</v>
      </c>
      <c r="C1318" s="19">
        <v>45880</v>
      </c>
      <c r="D1318" s="13" t="s">
        <v>1368</v>
      </c>
      <c r="E1318" s="12">
        <v>50000</v>
      </c>
      <c r="F1318" s="21" t="s">
        <v>1103</v>
      </c>
      <c r="G1318" s="21" t="s">
        <v>72</v>
      </c>
      <c r="H1318" s="21" t="s">
        <v>73</v>
      </c>
      <c r="I1318" s="21" t="s">
        <v>91</v>
      </c>
      <c r="J1318" s="13">
        <f>+MONTH(ExpenseTable[[#This Row],[Voucher Date]])</f>
        <v>8</v>
      </c>
      <c r="K1318" s="13" t="s">
        <v>238</v>
      </c>
    </row>
    <row r="1319" spans="1:11" x14ac:dyDescent="0.35">
      <c r="A1319" s="15">
        <v>45880</v>
      </c>
      <c r="B1319" s="11" t="s">
        <v>1363</v>
      </c>
      <c r="C1319" s="19">
        <v>45880</v>
      </c>
      <c r="D1319" s="13" t="s">
        <v>1369</v>
      </c>
      <c r="E1319" s="12">
        <v>50000</v>
      </c>
      <c r="F1319" s="21" t="s">
        <v>54</v>
      </c>
      <c r="G1319" s="21" t="s">
        <v>72</v>
      </c>
      <c r="H1319" s="21" t="s">
        <v>73</v>
      </c>
      <c r="I1319" s="21" t="s">
        <v>91</v>
      </c>
      <c r="J1319" s="13">
        <f>+MONTH(ExpenseTable[[#This Row],[Voucher Date]])</f>
        <v>8</v>
      </c>
      <c r="K1319" s="13" t="s">
        <v>238</v>
      </c>
    </row>
    <row r="1320" spans="1:11" x14ac:dyDescent="0.35">
      <c r="A1320" s="15">
        <v>45880</v>
      </c>
      <c r="B1320" s="11" t="s">
        <v>1363</v>
      </c>
      <c r="C1320" s="19">
        <v>45880</v>
      </c>
      <c r="D1320" s="13" t="s">
        <v>1370</v>
      </c>
      <c r="E1320" s="12">
        <v>15000</v>
      </c>
      <c r="F1320" s="21" t="s">
        <v>1371</v>
      </c>
      <c r="G1320" s="21" t="s">
        <v>72</v>
      </c>
      <c r="H1320" s="21" t="s">
        <v>73</v>
      </c>
      <c r="I1320" s="21" t="s">
        <v>91</v>
      </c>
      <c r="J1320" s="13">
        <f>+MONTH(ExpenseTable[[#This Row],[Voucher Date]])</f>
        <v>8</v>
      </c>
      <c r="K1320" s="13" t="s">
        <v>238</v>
      </c>
    </row>
    <row r="1321" spans="1:11" x14ac:dyDescent="0.35">
      <c r="A1321" s="15">
        <v>45835</v>
      </c>
      <c r="B1321" s="11" t="s">
        <v>1372</v>
      </c>
      <c r="C1321" s="19">
        <v>45835</v>
      </c>
      <c r="D1321" s="13" t="s">
        <v>1373</v>
      </c>
      <c r="E1321" s="12">
        <v>24000</v>
      </c>
      <c r="F1321" s="21" t="s">
        <v>5</v>
      </c>
      <c r="G1321" s="21" t="s">
        <v>72</v>
      </c>
      <c r="H1321" s="21" t="s">
        <v>73</v>
      </c>
      <c r="I1321" s="21" t="s">
        <v>80</v>
      </c>
      <c r="J1321" s="13">
        <f>+MONTH(ExpenseTable[[#This Row],[Voucher Date]])</f>
        <v>6</v>
      </c>
      <c r="K1321" s="13" t="s">
        <v>238</v>
      </c>
    </row>
    <row r="1322" spans="1:11" x14ac:dyDescent="0.35">
      <c r="A1322" s="15">
        <v>45836</v>
      </c>
      <c r="B1322" s="11" t="s">
        <v>1372</v>
      </c>
      <c r="C1322" s="19">
        <v>45835</v>
      </c>
      <c r="D1322" s="13" t="s">
        <v>721</v>
      </c>
      <c r="E1322" s="12">
        <v>50000</v>
      </c>
      <c r="F1322" s="21" t="s">
        <v>40</v>
      </c>
      <c r="G1322" s="21" t="s">
        <v>72</v>
      </c>
      <c r="H1322" s="21" t="s">
        <v>73</v>
      </c>
      <c r="I1322" s="21" t="s">
        <v>80</v>
      </c>
      <c r="J1322" s="13">
        <f>+MONTH(ExpenseTable[[#This Row],[Voucher Date]])</f>
        <v>6</v>
      </c>
      <c r="K1322" s="13" t="s">
        <v>238</v>
      </c>
    </row>
    <row r="1323" spans="1:11" x14ac:dyDescent="0.35">
      <c r="A1323" s="15">
        <v>45971</v>
      </c>
      <c r="B1323" s="11" t="s">
        <v>1169</v>
      </c>
      <c r="C1323" s="19">
        <v>45971</v>
      </c>
      <c r="D1323" s="13" t="s">
        <v>1171</v>
      </c>
      <c r="E1323" s="12">
        <v>12000</v>
      </c>
      <c r="F1323" s="21" t="s">
        <v>54</v>
      </c>
      <c r="G1323" s="21" t="s">
        <v>1167</v>
      </c>
      <c r="H1323" s="21" t="s">
        <v>1168</v>
      </c>
      <c r="I1323" s="21" t="s">
        <v>90</v>
      </c>
      <c r="J1323" s="13">
        <f>+MONTH(ExpenseTable[[#This Row],[Voucher Date]])</f>
        <v>11</v>
      </c>
      <c r="K1323" s="13" t="s">
        <v>108</v>
      </c>
    </row>
    <row r="1324" spans="1:11" x14ac:dyDescent="0.35">
      <c r="A1324" s="15">
        <v>45972</v>
      </c>
      <c r="B1324" s="11" t="s">
        <v>1169</v>
      </c>
      <c r="C1324" s="19">
        <v>45971</v>
      </c>
      <c r="D1324" s="13" t="s">
        <v>1174</v>
      </c>
      <c r="E1324" s="12">
        <v>17000</v>
      </c>
      <c r="F1324" s="21" t="s">
        <v>54</v>
      </c>
      <c r="G1324" s="21" t="s">
        <v>1167</v>
      </c>
      <c r="H1324" s="21" t="s">
        <v>1168</v>
      </c>
      <c r="I1324" s="21" t="s">
        <v>90</v>
      </c>
      <c r="J1324" s="13">
        <f>+MONTH(ExpenseTable[[#This Row],[Voucher Date]])</f>
        <v>11</v>
      </c>
      <c r="K1324" s="13" t="s">
        <v>108</v>
      </c>
    </row>
    <row r="1325" spans="1:11" x14ac:dyDescent="0.35">
      <c r="A1325" s="15">
        <v>45972</v>
      </c>
      <c r="B1325" s="11" t="s">
        <v>1169</v>
      </c>
      <c r="C1325" s="19">
        <v>45971</v>
      </c>
      <c r="D1325" s="13" t="s">
        <v>1176</v>
      </c>
      <c r="E1325" s="12">
        <v>21000</v>
      </c>
      <c r="F1325" s="21" t="s">
        <v>54</v>
      </c>
      <c r="G1325" s="21" t="s">
        <v>1167</v>
      </c>
      <c r="H1325" s="21" t="s">
        <v>1168</v>
      </c>
      <c r="I1325" s="21" t="s">
        <v>90</v>
      </c>
      <c r="J1325" s="13">
        <f>+MONTH(ExpenseTable[[#This Row],[Voucher Date]])</f>
        <v>11</v>
      </c>
      <c r="K1325" s="13" t="s">
        <v>108</v>
      </c>
    </row>
    <row r="1326" spans="1:11" x14ac:dyDescent="0.35">
      <c r="A1326" s="15">
        <v>45971</v>
      </c>
      <c r="B1326" s="11" t="s">
        <v>1169</v>
      </c>
      <c r="C1326" s="19">
        <v>45971</v>
      </c>
      <c r="D1326" s="13" t="s">
        <v>1170</v>
      </c>
      <c r="E1326" s="12">
        <v>26700</v>
      </c>
      <c r="F1326" s="21" t="s">
        <v>54</v>
      </c>
      <c r="G1326" s="21" t="s">
        <v>1167</v>
      </c>
      <c r="H1326" s="21" t="s">
        <v>1168</v>
      </c>
      <c r="I1326" s="21" t="s">
        <v>90</v>
      </c>
      <c r="J1326" s="13">
        <f>+MONTH(ExpenseTable[[#This Row],[Voucher Date]])</f>
        <v>11</v>
      </c>
      <c r="K1326" s="13" t="s">
        <v>108</v>
      </c>
    </row>
    <row r="1327" spans="1:11" x14ac:dyDescent="0.35">
      <c r="A1327" s="15">
        <v>45973</v>
      </c>
      <c r="B1327" s="11" t="s">
        <v>1169</v>
      </c>
      <c r="C1327" s="19">
        <v>45971</v>
      </c>
      <c r="D1327" s="13" t="s">
        <v>1175</v>
      </c>
      <c r="E1327" s="12">
        <v>40000</v>
      </c>
      <c r="F1327" s="21" t="s">
        <v>54</v>
      </c>
      <c r="G1327" s="21" t="s">
        <v>1167</v>
      </c>
      <c r="H1327" s="21" t="s">
        <v>1168</v>
      </c>
      <c r="I1327" s="21" t="s">
        <v>90</v>
      </c>
      <c r="J1327" s="13">
        <f>+MONTH(ExpenseTable[[#This Row],[Voucher Date]])</f>
        <v>11</v>
      </c>
      <c r="K1327" s="13" t="s">
        <v>108</v>
      </c>
    </row>
    <row r="1328" spans="1:11" x14ac:dyDescent="0.35">
      <c r="A1328" s="15">
        <v>45972</v>
      </c>
      <c r="B1328" s="11" t="s">
        <v>1169</v>
      </c>
      <c r="C1328" s="19">
        <v>45971</v>
      </c>
      <c r="D1328" s="13" t="s">
        <v>1172</v>
      </c>
      <c r="E1328" s="12">
        <v>100000</v>
      </c>
      <c r="F1328" s="21" t="s">
        <v>54</v>
      </c>
      <c r="G1328" s="21" t="s">
        <v>1167</v>
      </c>
      <c r="H1328" s="21" t="s">
        <v>1168</v>
      </c>
      <c r="I1328" s="21" t="s">
        <v>90</v>
      </c>
      <c r="J1328" s="13">
        <f>+MONTH(ExpenseTable[[#This Row],[Voucher Date]])</f>
        <v>11</v>
      </c>
      <c r="K1328" s="13" t="s">
        <v>108</v>
      </c>
    </row>
    <row r="1329" spans="1:11" x14ac:dyDescent="0.35">
      <c r="A1329" s="15">
        <v>45971</v>
      </c>
      <c r="B1329" s="11" t="s">
        <v>1169</v>
      </c>
      <c r="C1329" s="19">
        <v>45971</v>
      </c>
      <c r="D1329" s="13" t="s">
        <v>1173</v>
      </c>
      <c r="E1329" s="12">
        <v>224800</v>
      </c>
      <c r="F1329" s="21" t="s">
        <v>54</v>
      </c>
      <c r="G1329" s="21" t="s">
        <v>1167</v>
      </c>
      <c r="H1329" s="21" t="s">
        <v>1168</v>
      </c>
      <c r="I1329" s="21" t="s">
        <v>90</v>
      </c>
      <c r="J1329" s="13">
        <f>+MONTH(ExpenseTable[[#This Row],[Voucher Date]])</f>
        <v>11</v>
      </c>
      <c r="K1329" s="13" t="s">
        <v>108</v>
      </c>
    </row>
    <row r="1330" spans="1:11" x14ac:dyDescent="0.35">
      <c r="A1330" s="15">
        <v>45968</v>
      </c>
      <c r="B1330" s="11" t="s">
        <v>1244</v>
      </c>
      <c r="C1330" s="19">
        <v>45968</v>
      </c>
      <c r="D1330" s="13" t="s">
        <v>1246</v>
      </c>
      <c r="E1330" s="12">
        <v>40000</v>
      </c>
      <c r="F1330" s="21" t="s">
        <v>54</v>
      </c>
      <c r="G1330" s="21" t="s">
        <v>72</v>
      </c>
      <c r="H1330" s="21" t="s">
        <v>73</v>
      </c>
      <c r="I1330" s="21" t="s">
        <v>91</v>
      </c>
      <c r="J1330" s="13">
        <f>+MONTH(ExpenseTable[[#This Row],[Voucher Date]])</f>
        <v>11</v>
      </c>
      <c r="K1330" s="13" t="s">
        <v>108</v>
      </c>
    </row>
    <row r="1331" spans="1:11" x14ac:dyDescent="0.35">
      <c r="A1331" s="15">
        <v>45970</v>
      </c>
      <c r="B1331" s="11" t="s">
        <v>1244</v>
      </c>
      <c r="C1331" s="19">
        <v>45968</v>
      </c>
      <c r="D1331" s="13" t="s">
        <v>1245</v>
      </c>
      <c r="E1331" s="12">
        <v>100000</v>
      </c>
      <c r="F1331" s="21" t="s">
        <v>54</v>
      </c>
      <c r="G1331" s="21" t="s">
        <v>72</v>
      </c>
      <c r="H1331" s="21" t="s">
        <v>73</v>
      </c>
      <c r="I1331" s="21" t="s">
        <v>91</v>
      </c>
      <c r="J1331" s="13">
        <f>+MONTH(ExpenseTable[[#This Row],[Voucher Date]])</f>
        <v>11</v>
      </c>
      <c r="K1331" s="13" t="s">
        <v>108</v>
      </c>
    </row>
    <row r="1332" spans="1:11" x14ac:dyDescent="0.35">
      <c r="A1332" s="15">
        <v>45972</v>
      </c>
      <c r="B1332" s="11" t="s">
        <v>1244</v>
      </c>
      <c r="C1332" s="19">
        <v>45968</v>
      </c>
      <c r="D1332" s="13" t="s">
        <v>1374</v>
      </c>
      <c r="E1332" s="12">
        <v>177380.69</v>
      </c>
      <c r="F1332" s="21" t="s">
        <v>56</v>
      </c>
      <c r="G1332" s="21" t="s">
        <v>72</v>
      </c>
      <c r="H1332" s="21" t="s">
        <v>73</v>
      </c>
      <c r="I1332" s="21" t="s">
        <v>91</v>
      </c>
      <c r="J1332" s="13">
        <f>+MONTH(ExpenseTable[[#This Row],[Voucher Date]])</f>
        <v>11</v>
      </c>
      <c r="K1332" s="13" t="s">
        <v>108</v>
      </c>
    </row>
    <row r="1333" spans="1:11" x14ac:dyDescent="0.35">
      <c r="A1333" s="15">
        <v>45974</v>
      </c>
      <c r="B1333" s="11" t="s">
        <v>1162</v>
      </c>
      <c r="C1333" s="19">
        <v>45968</v>
      </c>
      <c r="D1333" s="13" t="s">
        <v>1163</v>
      </c>
      <c r="E1333" s="12">
        <v>15000</v>
      </c>
      <c r="F1333" s="21" t="s">
        <v>22</v>
      </c>
      <c r="G1333" s="21" t="s">
        <v>72</v>
      </c>
      <c r="H1333" s="21" t="s">
        <v>73</v>
      </c>
      <c r="I1333" s="21" t="s">
        <v>1123</v>
      </c>
      <c r="J1333" s="13">
        <f>+MONTH(ExpenseTable[[#This Row],[Voucher Date]])</f>
        <v>11</v>
      </c>
      <c r="K1333" s="13" t="s">
        <v>108</v>
      </c>
    </row>
    <row r="1334" spans="1:11" x14ac:dyDescent="0.35">
      <c r="A1334" s="15">
        <v>45974</v>
      </c>
      <c r="B1334" s="11" t="s">
        <v>1162</v>
      </c>
      <c r="C1334" s="19">
        <v>45968</v>
      </c>
      <c r="D1334" s="13" t="s">
        <v>1377</v>
      </c>
      <c r="E1334" s="12">
        <v>50000</v>
      </c>
      <c r="F1334" s="21" t="s">
        <v>40</v>
      </c>
      <c r="G1334" s="21" t="s">
        <v>72</v>
      </c>
      <c r="H1334" s="21" t="s">
        <v>73</v>
      </c>
      <c r="I1334" s="21" t="s">
        <v>1123</v>
      </c>
      <c r="J1334" s="13">
        <f>+MONTH(ExpenseTable[[#This Row],[Voucher Date]])</f>
        <v>11</v>
      </c>
      <c r="K1334" s="13" t="s">
        <v>108</v>
      </c>
    </row>
    <row r="1335" spans="1:11" x14ac:dyDescent="0.35">
      <c r="A1335" s="15">
        <v>45972</v>
      </c>
      <c r="B1335" s="11" t="s">
        <v>1162</v>
      </c>
      <c r="C1335" s="19">
        <v>45968</v>
      </c>
      <c r="D1335" s="13" t="s">
        <v>1376</v>
      </c>
      <c r="E1335" s="12">
        <v>50000</v>
      </c>
      <c r="F1335" s="21" t="s">
        <v>40</v>
      </c>
      <c r="G1335" s="21" t="s">
        <v>72</v>
      </c>
      <c r="H1335" s="21" t="s">
        <v>73</v>
      </c>
      <c r="I1335" s="21" t="s">
        <v>1123</v>
      </c>
      <c r="J1335" s="13">
        <f>+MONTH(ExpenseTable[[#This Row],[Voucher Date]])</f>
        <v>11</v>
      </c>
      <c r="K1335" s="13" t="s">
        <v>108</v>
      </c>
    </row>
    <row r="1336" spans="1:11" x14ac:dyDescent="0.35">
      <c r="A1336" s="15">
        <v>45968</v>
      </c>
      <c r="B1336" s="11" t="s">
        <v>1162</v>
      </c>
      <c r="C1336" s="19">
        <v>45968</v>
      </c>
      <c r="D1336" s="13" t="s">
        <v>1375</v>
      </c>
      <c r="E1336" s="12">
        <v>74290</v>
      </c>
      <c r="F1336" s="21" t="s">
        <v>40</v>
      </c>
      <c r="G1336" s="21" t="s">
        <v>72</v>
      </c>
      <c r="H1336" s="21" t="s">
        <v>73</v>
      </c>
      <c r="I1336" s="21" t="s">
        <v>1123</v>
      </c>
      <c r="J1336" s="13">
        <f>+MONTH(ExpenseTable[[#This Row],[Voucher Date]])</f>
        <v>11</v>
      </c>
      <c r="K1336" s="13" t="s">
        <v>108</v>
      </c>
    </row>
    <row r="1337" spans="1:11" x14ac:dyDescent="0.35">
      <c r="A1337" s="15">
        <v>45870</v>
      </c>
      <c r="B1337" s="11" t="s">
        <v>916</v>
      </c>
      <c r="C1337" s="19">
        <v>45870</v>
      </c>
      <c r="D1337" s="13" t="s">
        <v>1379</v>
      </c>
      <c r="E1337" s="12">
        <v>30000</v>
      </c>
      <c r="F1337" s="21" t="s">
        <v>30</v>
      </c>
      <c r="G1337" s="21" t="s">
        <v>72</v>
      </c>
      <c r="H1337" s="21" t="s">
        <v>73</v>
      </c>
      <c r="I1337" s="21" t="s">
        <v>91</v>
      </c>
      <c r="J1337" s="13">
        <f>+MONTH(ExpenseTable[[#This Row],[Voucher Date]])</f>
        <v>8</v>
      </c>
      <c r="K1337" s="13" t="s">
        <v>238</v>
      </c>
    </row>
    <row r="1338" spans="1:11" x14ac:dyDescent="0.35">
      <c r="A1338" s="15">
        <v>45870</v>
      </c>
      <c r="B1338" s="11" t="s">
        <v>916</v>
      </c>
      <c r="C1338" s="19">
        <v>45870</v>
      </c>
      <c r="D1338" s="13" t="s">
        <v>919</v>
      </c>
      <c r="E1338" s="12">
        <v>48653.85</v>
      </c>
      <c r="F1338" s="21" t="s">
        <v>30</v>
      </c>
      <c r="G1338" s="21" t="s">
        <v>72</v>
      </c>
      <c r="H1338" s="21" t="s">
        <v>73</v>
      </c>
      <c r="I1338" s="21" t="s">
        <v>91</v>
      </c>
      <c r="J1338" s="13">
        <f>+MONTH(ExpenseTable[[#This Row],[Voucher Date]])</f>
        <v>8</v>
      </c>
      <c r="K1338" s="13" t="s">
        <v>238</v>
      </c>
    </row>
    <row r="1339" spans="1:11" x14ac:dyDescent="0.35">
      <c r="A1339" s="15">
        <v>45870</v>
      </c>
      <c r="B1339" s="11" t="s">
        <v>916</v>
      </c>
      <c r="C1339" s="19">
        <v>45870</v>
      </c>
      <c r="D1339" s="13" t="s">
        <v>917</v>
      </c>
      <c r="E1339" s="12">
        <v>46153.85</v>
      </c>
      <c r="F1339" s="21" t="s">
        <v>54</v>
      </c>
      <c r="G1339" s="21" t="s">
        <v>80</v>
      </c>
      <c r="H1339" s="21" t="s">
        <v>89</v>
      </c>
      <c r="I1339" s="21" t="s">
        <v>91</v>
      </c>
      <c r="J1339" s="13">
        <f>+MONTH(ExpenseTable[[#This Row],[Voucher Date]])</f>
        <v>8</v>
      </c>
      <c r="K1339" s="13" t="s">
        <v>238</v>
      </c>
    </row>
    <row r="1340" spans="1:11" x14ac:dyDescent="0.35">
      <c r="A1340" s="15">
        <v>45870</v>
      </c>
      <c r="B1340" s="11" t="s">
        <v>916</v>
      </c>
      <c r="C1340" s="19">
        <v>45870</v>
      </c>
      <c r="D1340" s="13" t="s">
        <v>920</v>
      </c>
      <c r="E1340" s="12">
        <v>311493.33</v>
      </c>
      <c r="F1340" s="21" t="s">
        <v>54</v>
      </c>
      <c r="G1340" s="21" t="s">
        <v>80</v>
      </c>
      <c r="H1340" s="21" t="s">
        <v>89</v>
      </c>
      <c r="I1340" s="21" t="s">
        <v>91</v>
      </c>
      <c r="J1340" s="13">
        <f>+MONTH(ExpenseTable[[#This Row],[Voucher Date]])</f>
        <v>8</v>
      </c>
      <c r="K1340" s="13" t="s">
        <v>238</v>
      </c>
    </row>
    <row r="1341" spans="1:11" x14ac:dyDescent="0.35">
      <c r="A1341" s="15">
        <v>45870</v>
      </c>
      <c r="B1341" s="11" t="s">
        <v>916</v>
      </c>
      <c r="C1341" s="19">
        <v>45870</v>
      </c>
      <c r="D1341" s="13" t="s">
        <v>921</v>
      </c>
      <c r="E1341" s="12">
        <v>270483.33</v>
      </c>
      <c r="F1341" s="21" t="s">
        <v>54</v>
      </c>
      <c r="G1341" s="21" t="s">
        <v>72</v>
      </c>
      <c r="H1341" s="21" t="s">
        <v>73</v>
      </c>
      <c r="I1341" s="21" t="s">
        <v>91</v>
      </c>
      <c r="J1341" s="13">
        <f>+MONTH(ExpenseTable[[#This Row],[Voucher Date]])</f>
        <v>8</v>
      </c>
      <c r="K1341" s="13" t="s">
        <v>238</v>
      </c>
    </row>
    <row r="1342" spans="1:11" x14ac:dyDescent="0.35">
      <c r="A1342" s="15">
        <v>45870</v>
      </c>
      <c r="B1342" s="11" t="s">
        <v>916</v>
      </c>
      <c r="C1342" s="19">
        <v>45870</v>
      </c>
      <c r="D1342" s="13" t="s">
        <v>918</v>
      </c>
      <c r="E1342" s="12">
        <v>388269.24</v>
      </c>
      <c r="F1342" s="21" t="s">
        <v>54</v>
      </c>
      <c r="G1342" s="21" t="s">
        <v>67</v>
      </c>
      <c r="H1342" s="21" t="s">
        <v>89</v>
      </c>
      <c r="I1342" s="21" t="s">
        <v>91</v>
      </c>
      <c r="J1342" s="13">
        <f>+MONTH(ExpenseTable[[#This Row],[Voucher Date]])</f>
        <v>8</v>
      </c>
      <c r="K1342" s="13" t="s">
        <v>238</v>
      </c>
    </row>
    <row r="1343" spans="1:11" x14ac:dyDescent="0.35">
      <c r="A1343" s="15">
        <v>45870</v>
      </c>
      <c r="B1343" s="11" t="s">
        <v>916</v>
      </c>
      <c r="C1343" s="19">
        <v>45870</v>
      </c>
      <c r="D1343" s="13" t="s">
        <v>922</v>
      </c>
      <c r="E1343" s="12">
        <v>647107.99</v>
      </c>
      <c r="F1343" s="21" t="s">
        <v>54</v>
      </c>
      <c r="G1343" s="21" t="s">
        <v>67</v>
      </c>
      <c r="H1343" s="21" t="s">
        <v>79</v>
      </c>
      <c r="I1343" s="21" t="s">
        <v>91</v>
      </c>
      <c r="J1343" s="13">
        <f>+MONTH(ExpenseTable[[#This Row],[Voucher Date]])</f>
        <v>8</v>
      </c>
      <c r="K1343" s="13" t="s">
        <v>238</v>
      </c>
    </row>
    <row r="1344" spans="1:11" x14ac:dyDescent="0.35">
      <c r="A1344" s="15">
        <v>45870</v>
      </c>
      <c r="B1344" s="11" t="s">
        <v>916</v>
      </c>
      <c r="C1344" s="19">
        <v>45870</v>
      </c>
      <c r="D1344" s="13" t="s">
        <v>1380</v>
      </c>
      <c r="E1344" s="12">
        <v>30000</v>
      </c>
      <c r="F1344" s="21" t="s">
        <v>54</v>
      </c>
      <c r="G1344" s="21" t="s">
        <v>72</v>
      </c>
      <c r="H1344" s="21" t="s">
        <v>73</v>
      </c>
      <c r="I1344" s="21" t="s">
        <v>91</v>
      </c>
      <c r="J1344" s="13">
        <f>+MONTH(ExpenseTable[[#This Row],[Voucher Date]])</f>
        <v>8</v>
      </c>
      <c r="K1344" s="13" t="s">
        <v>238</v>
      </c>
    </row>
    <row r="1345" spans="1:11" x14ac:dyDescent="0.35">
      <c r="A1345" s="15">
        <v>45982</v>
      </c>
      <c r="B1345" s="11" t="s">
        <v>1203</v>
      </c>
      <c r="C1345" s="19">
        <v>45982</v>
      </c>
      <c r="D1345" s="13" t="s">
        <v>1210</v>
      </c>
      <c r="E1345" s="12">
        <v>1300</v>
      </c>
      <c r="F1345" s="21" t="s">
        <v>21</v>
      </c>
      <c r="G1345" s="21" t="s">
        <v>72</v>
      </c>
      <c r="H1345" s="21" t="s">
        <v>73</v>
      </c>
      <c r="I1345" s="21" t="s">
        <v>90</v>
      </c>
      <c r="J1345" s="13">
        <f>+MONTH(ExpenseTable[[#This Row],[Voucher Date]])</f>
        <v>11</v>
      </c>
      <c r="K1345" s="13" t="s">
        <v>108</v>
      </c>
    </row>
    <row r="1346" spans="1:11" x14ac:dyDescent="0.35">
      <c r="A1346" s="15">
        <v>45982</v>
      </c>
      <c r="B1346" s="11" t="s">
        <v>1203</v>
      </c>
      <c r="C1346" s="19">
        <v>45982</v>
      </c>
      <c r="D1346" s="13" t="s">
        <v>1205</v>
      </c>
      <c r="E1346" s="12">
        <v>2500</v>
      </c>
      <c r="F1346" s="21" t="s">
        <v>5</v>
      </c>
      <c r="G1346" s="21" t="s">
        <v>72</v>
      </c>
      <c r="H1346" s="21" t="s">
        <v>73</v>
      </c>
      <c r="I1346" s="21" t="s">
        <v>90</v>
      </c>
      <c r="J1346" s="13">
        <f>+MONTH(ExpenseTable[[#This Row],[Voucher Date]])</f>
        <v>11</v>
      </c>
      <c r="K1346" s="13" t="s">
        <v>108</v>
      </c>
    </row>
    <row r="1347" spans="1:11" x14ac:dyDescent="0.35">
      <c r="A1347" s="15">
        <v>45982</v>
      </c>
      <c r="B1347" s="11" t="s">
        <v>1203</v>
      </c>
      <c r="C1347" s="19">
        <v>45982</v>
      </c>
      <c r="D1347" s="13" t="s">
        <v>1206</v>
      </c>
      <c r="E1347" s="12">
        <v>3000</v>
      </c>
      <c r="F1347" s="21" t="s">
        <v>5</v>
      </c>
      <c r="G1347" s="21" t="s">
        <v>72</v>
      </c>
      <c r="H1347" s="21" t="s">
        <v>73</v>
      </c>
      <c r="I1347" s="21" t="s">
        <v>90</v>
      </c>
      <c r="J1347" s="13">
        <f>+MONTH(ExpenseTable[[#This Row],[Voucher Date]])</f>
        <v>11</v>
      </c>
      <c r="K1347" s="13" t="s">
        <v>108</v>
      </c>
    </row>
    <row r="1348" spans="1:11" x14ac:dyDescent="0.35">
      <c r="A1348" s="15">
        <v>45981</v>
      </c>
      <c r="B1348" s="11" t="s">
        <v>1203</v>
      </c>
      <c r="C1348" s="19">
        <v>45982</v>
      </c>
      <c r="D1348" s="13" t="s">
        <v>1209</v>
      </c>
      <c r="E1348" s="12">
        <v>4000</v>
      </c>
      <c r="F1348" s="21" t="s">
        <v>21</v>
      </c>
      <c r="G1348" s="21" t="s">
        <v>72</v>
      </c>
      <c r="H1348" s="21" t="s">
        <v>73</v>
      </c>
      <c r="I1348" s="21" t="s">
        <v>90</v>
      </c>
      <c r="J1348" s="13">
        <f>+MONTH(ExpenseTable[[#This Row],[Voucher Date]])</f>
        <v>11</v>
      </c>
      <c r="K1348" s="13" t="s">
        <v>108</v>
      </c>
    </row>
    <row r="1349" spans="1:11" x14ac:dyDescent="0.35">
      <c r="A1349" s="15">
        <v>45982</v>
      </c>
      <c r="B1349" s="11" t="s">
        <v>1203</v>
      </c>
      <c r="C1349" s="19">
        <v>45982</v>
      </c>
      <c r="D1349" s="13" t="s">
        <v>1207</v>
      </c>
      <c r="E1349" s="12">
        <v>5300</v>
      </c>
      <c r="F1349" s="21" t="s">
        <v>21</v>
      </c>
      <c r="G1349" s="21" t="s">
        <v>72</v>
      </c>
      <c r="H1349" s="21" t="s">
        <v>73</v>
      </c>
      <c r="I1349" s="21" t="s">
        <v>90</v>
      </c>
      <c r="J1349" s="13">
        <f>+MONTH(ExpenseTable[[#This Row],[Voucher Date]])</f>
        <v>11</v>
      </c>
      <c r="K1349" s="13" t="s">
        <v>108</v>
      </c>
    </row>
    <row r="1350" spans="1:11" x14ac:dyDescent="0.35">
      <c r="A1350" s="15">
        <v>45982</v>
      </c>
      <c r="B1350" s="11" t="s">
        <v>1203</v>
      </c>
      <c r="C1350" s="19">
        <v>45982</v>
      </c>
      <c r="D1350" s="13" t="s">
        <v>1204</v>
      </c>
      <c r="E1350" s="12">
        <v>8000</v>
      </c>
      <c r="F1350" s="21" t="s">
        <v>5</v>
      </c>
      <c r="G1350" s="21" t="s">
        <v>72</v>
      </c>
      <c r="H1350" s="21" t="s">
        <v>73</v>
      </c>
      <c r="I1350" s="21" t="s">
        <v>90</v>
      </c>
      <c r="J1350" s="13">
        <f>+MONTH(ExpenseTable[[#This Row],[Voucher Date]])</f>
        <v>11</v>
      </c>
      <c r="K1350" s="13" t="s">
        <v>108</v>
      </c>
    </row>
    <row r="1351" spans="1:11" x14ac:dyDescent="0.35">
      <c r="A1351" s="15">
        <v>45982</v>
      </c>
      <c r="B1351" s="11" t="s">
        <v>1203</v>
      </c>
      <c r="C1351" s="19">
        <v>45982</v>
      </c>
      <c r="D1351" s="13" t="s">
        <v>1378</v>
      </c>
      <c r="E1351" s="12">
        <v>12000</v>
      </c>
      <c r="F1351" s="21" t="s">
        <v>5</v>
      </c>
      <c r="G1351" s="21" t="s">
        <v>72</v>
      </c>
      <c r="H1351" s="21" t="s">
        <v>73</v>
      </c>
      <c r="I1351" s="21" t="s">
        <v>90</v>
      </c>
      <c r="J1351" s="13">
        <f>+MONTH(ExpenseTable[[#This Row],[Voucher Date]])</f>
        <v>11</v>
      </c>
      <c r="K1351" s="13" t="s">
        <v>108</v>
      </c>
    </row>
    <row r="1352" spans="1:11" x14ac:dyDescent="0.35">
      <c r="A1352" s="15">
        <v>45981</v>
      </c>
      <c r="B1352" s="11" t="s">
        <v>1203</v>
      </c>
      <c r="C1352" s="19">
        <v>45982</v>
      </c>
      <c r="D1352" s="13" t="s">
        <v>1208</v>
      </c>
      <c r="E1352" s="12">
        <v>15700</v>
      </c>
      <c r="F1352" s="21" t="s">
        <v>27</v>
      </c>
      <c r="G1352" s="21" t="s">
        <v>72</v>
      </c>
      <c r="H1352" s="21" t="s">
        <v>73</v>
      </c>
      <c r="I1352" s="21" t="s">
        <v>90</v>
      </c>
      <c r="J1352" s="13">
        <f>+MONTH(ExpenseTable[[#This Row],[Voucher Date]])</f>
        <v>11</v>
      </c>
      <c r="K1352" s="13" t="s">
        <v>108</v>
      </c>
    </row>
    <row r="1047491" spans="5:5" x14ac:dyDescent="0.35">
      <c r="E1047491" s="25">
        <f>SUM(E1:E1047490)</f>
        <v>339861288.80000013</v>
      </c>
    </row>
  </sheetData>
  <sheetProtection insertColumns="0" insertRows="0"/>
  <dataConsolidate/>
  <mergeCells count="1">
    <mergeCell ref="D2:F2"/>
  </mergeCells>
  <phoneticPr fontId="3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1094EB-48B2-4F3E-98DC-D1C393585D01}">
          <x14:formula1>
            <xm:f>Variables!$C$2:$C$48</xm:f>
          </x14:formula1>
          <xm:sqref>F4:F1352</xm:sqref>
        </x14:dataValidation>
        <x14:dataValidation type="list" allowBlank="1" showInputMessage="1" showErrorMessage="1" xr:uid="{FAEA9270-9EA9-4D18-B04C-3DB3BCD95E5C}">
          <x14:formula1>
            <xm:f>Variables!$F$2:$F$12</xm:f>
          </x14:formula1>
          <xm:sqref>G4:G1352</xm:sqref>
        </x14:dataValidation>
        <x14:dataValidation type="list" allowBlank="1" showInputMessage="1" showErrorMessage="1" xr:uid="{D6093CC3-1E34-477C-82D4-1380573863D7}">
          <x14:formula1>
            <xm:f>Variables!$G$2:$G$12</xm:f>
          </x14:formula1>
          <xm:sqref>H4:H1352</xm:sqref>
        </x14:dataValidation>
        <x14:dataValidation type="list" allowBlank="1" showInputMessage="1" showErrorMessage="1" xr:uid="{48B89BA8-E9D7-4981-A6EC-31B56012B9C0}">
          <x14:formula1>
            <xm:f>Variables!$E$2:$E$9</xm:f>
          </x14:formula1>
          <xm:sqref>I4:I1352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D4652-F952-4807-91F7-7A9AE03F8DF2}">
  <sheetPr codeName="Sheet2">
    <pageSetUpPr fitToPage="1"/>
  </sheetPr>
  <dimension ref="A1:AF222"/>
  <sheetViews>
    <sheetView workbookViewId="0">
      <selection activeCell="G9" sqref="G9"/>
    </sheetView>
  </sheetViews>
  <sheetFormatPr defaultRowHeight="14.5" x14ac:dyDescent="0.35"/>
  <cols>
    <col min="3" max="3" width="39.54296875" style="5" bestFit="1" customWidth="1"/>
    <col min="5" max="5" width="23.54296875" bestFit="1" customWidth="1"/>
    <col min="6" max="6" width="13.7265625" bestFit="1" customWidth="1"/>
    <col min="7" max="7" width="14" bestFit="1" customWidth="1"/>
    <col min="8" max="8" width="11.453125" bestFit="1" customWidth="1"/>
    <col min="9" max="9" width="16.1796875" hidden="1" customWidth="1"/>
    <col min="10" max="10" width="14.54296875" customWidth="1"/>
    <col min="11" max="11" width="10.453125" customWidth="1"/>
    <col min="13" max="13" width="13.7265625" bestFit="1" customWidth="1"/>
    <col min="14" max="14" width="14" bestFit="1" customWidth="1"/>
    <col min="15" max="17" width="11.1796875" bestFit="1" customWidth="1"/>
    <col min="20" max="20" width="11" customWidth="1"/>
    <col min="21" max="21" width="9.54296875" bestFit="1" customWidth="1"/>
  </cols>
  <sheetData>
    <row r="1" spans="1:32" ht="18.5" x14ac:dyDescent="0.45">
      <c r="A1" t="s">
        <v>0</v>
      </c>
      <c r="C1" s="8" t="s">
        <v>48</v>
      </c>
      <c r="E1" t="s">
        <v>69</v>
      </c>
      <c r="F1" t="s">
        <v>75</v>
      </c>
      <c r="G1" t="s">
        <v>74</v>
      </c>
      <c r="M1" t="s">
        <v>0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108</v>
      </c>
    </row>
    <row r="2" spans="1:32" ht="18.5" x14ac:dyDescent="0.45">
      <c r="A2">
        <v>1</v>
      </c>
      <c r="C2" s="8" t="s">
        <v>49</v>
      </c>
      <c r="E2" t="s">
        <v>90</v>
      </c>
      <c r="F2" t="s">
        <v>72</v>
      </c>
      <c r="G2" t="s">
        <v>89</v>
      </c>
      <c r="M2" t="s">
        <v>77</v>
      </c>
      <c r="N2">
        <v>1</v>
      </c>
      <c r="O2">
        <v>2</v>
      </c>
      <c r="P2">
        <v>3</v>
      </c>
      <c r="Q2">
        <v>4</v>
      </c>
      <c r="R2">
        <v>5</v>
      </c>
      <c r="S2">
        <v>6</v>
      </c>
      <c r="T2">
        <v>7</v>
      </c>
      <c r="U2">
        <v>8</v>
      </c>
      <c r="V2">
        <v>9</v>
      </c>
      <c r="W2">
        <v>10</v>
      </c>
      <c r="X2">
        <v>11</v>
      </c>
      <c r="Y2">
        <v>12</v>
      </c>
    </row>
    <row r="3" spans="1:32" ht="18.5" x14ac:dyDescent="0.45">
      <c r="A3">
        <v>2</v>
      </c>
      <c r="C3" s="8" t="s">
        <v>1103</v>
      </c>
      <c r="E3" t="s">
        <v>80</v>
      </c>
      <c r="F3" t="s">
        <v>65</v>
      </c>
      <c r="G3" t="s">
        <v>1102</v>
      </c>
      <c r="K3" t="str" cm="1">
        <f t="array" ref="K3:K222">_xlfn.UNIQUE(ExpenseTable[Voucher No])</f>
        <v>VN-01-02-01</v>
      </c>
    </row>
    <row r="4" spans="1:32" ht="18.5" x14ac:dyDescent="0.45">
      <c r="A4">
        <v>3</v>
      </c>
      <c r="C4" s="8" t="s">
        <v>28</v>
      </c>
      <c r="E4" t="s">
        <v>1123</v>
      </c>
      <c r="F4" t="s">
        <v>80</v>
      </c>
      <c r="G4" t="s">
        <v>79</v>
      </c>
      <c r="K4" t="str">
        <v>VN-01-06-01</v>
      </c>
    </row>
    <row r="5" spans="1:32" ht="18.5" x14ac:dyDescent="0.45">
      <c r="A5">
        <v>4</v>
      </c>
      <c r="C5" s="8" t="s">
        <v>46</v>
      </c>
      <c r="E5" t="s">
        <v>93</v>
      </c>
      <c r="F5" t="s">
        <v>1016</v>
      </c>
      <c r="G5" t="s">
        <v>914</v>
      </c>
      <c r="I5" t="s">
        <v>103</v>
      </c>
      <c r="J5" t="s">
        <v>104</v>
      </c>
      <c r="K5" t="str">
        <v>VN-01-06-02</v>
      </c>
      <c r="M5" t="s">
        <v>63</v>
      </c>
      <c r="N5" t="s">
        <v>114</v>
      </c>
      <c r="O5" t="s">
        <v>111</v>
      </c>
      <c r="P5" t="s">
        <v>112</v>
      </c>
      <c r="Q5" t="s">
        <v>113</v>
      </c>
    </row>
    <row r="6" spans="1:32" ht="18.5" x14ac:dyDescent="0.45">
      <c r="A6">
        <v>5</v>
      </c>
      <c r="C6" s="8" t="s">
        <v>36</v>
      </c>
      <c r="E6" t="s">
        <v>94</v>
      </c>
      <c r="F6" t="s">
        <v>97</v>
      </c>
      <c r="G6" t="s">
        <v>98</v>
      </c>
      <c r="I6" t="s">
        <v>71</v>
      </c>
      <c r="J6">
        <v>1234</v>
      </c>
      <c r="K6" t="str">
        <v>VN-01-07-01</v>
      </c>
      <c r="M6" s="31" t="s">
        <v>72</v>
      </c>
      <c r="N6" t="s">
        <v>73</v>
      </c>
    </row>
    <row r="7" spans="1:32" ht="18.5" x14ac:dyDescent="0.45">
      <c r="A7">
        <v>6</v>
      </c>
      <c r="C7" s="8" t="s">
        <v>82</v>
      </c>
      <c r="E7" t="s">
        <v>91</v>
      </c>
      <c r="F7" t="s">
        <v>66</v>
      </c>
      <c r="G7" t="s">
        <v>1303</v>
      </c>
      <c r="I7" t="s">
        <v>106</v>
      </c>
      <c r="J7" t="s">
        <v>105</v>
      </c>
      <c r="K7" t="str">
        <v>VN-01-08-01</v>
      </c>
      <c r="M7" s="33" t="s">
        <v>65</v>
      </c>
    </row>
    <row r="8" spans="1:32" ht="18.5" x14ac:dyDescent="0.45">
      <c r="A8">
        <v>7</v>
      </c>
      <c r="C8" s="8" t="s">
        <v>20</v>
      </c>
      <c r="E8" t="s">
        <v>92</v>
      </c>
      <c r="F8" t="s">
        <v>915</v>
      </c>
      <c r="G8" t="s">
        <v>1101</v>
      </c>
      <c r="I8" t="s">
        <v>108</v>
      </c>
      <c r="J8" t="s">
        <v>109</v>
      </c>
      <c r="K8" t="str">
        <v>VN-01-09-01</v>
      </c>
      <c r="M8" s="32" t="s">
        <v>80</v>
      </c>
      <c r="N8" t="s">
        <v>81</v>
      </c>
      <c r="O8" t="s">
        <v>89</v>
      </c>
    </row>
    <row r="9" spans="1:32" ht="18.5" x14ac:dyDescent="0.45">
      <c r="A9">
        <v>8</v>
      </c>
      <c r="C9" s="8" t="s">
        <v>96</v>
      </c>
      <c r="E9" t="s">
        <v>95</v>
      </c>
      <c r="F9" t="s">
        <v>1302</v>
      </c>
      <c r="G9" t="s">
        <v>68</v>
      </c>
      <c r="K9" t="str">
        <v>VN-01-10-01</v>
      </c>
      <c r="M9" s="33" t="s">
        <v>66</v>
      </c>
      <c r="N9" t="s">
        <v>68</v>
      </c>
    </row>
    <row r="10" spans="1:32" ht="18.5" x14ac:dyDescent="0.45">
      <c r="A10">
        <v>9</v>
      </c>
      <c r="C10" s="8" t="s">
        <v>54</v>
      </c>
      <c r="F10" t="s">
        <v>1099</v>
      </c>
      <c r="G10" t="s">
        <v>73</v>
      </c>
      <c r="K10" t="str">
        <v>VN-01-10-02</v>
      </c>
      <c r="M10" s="32" t="s">
        <v>67</v>
      </c>
      <c r="N10" t="s">
        <v>79</v>
      </c>
    </row>
    <row r="11" spans="1:32" ht="18.5" x14ac:dyDescent="0.45">
      <c r="A11">
        <v>10</v>
      </c>
      <c r="C11" s="8" t="s">
        <v>1141</v>
      </c>
      <c r="F11" t="s">
        <v>67</v>
      </c>
      <c r="G11" t="s">
        <v>81</v>
      </c>
      <c r="K11" t="str">
        <v>VN-01-10-03</v>
      </c>
      <c r="M11" s="33" t="s">
        <v>97</v>
      </c>
      <c r="N11" t="s">
        <v>98</v>
      </c>
    </row>
    <row r="12" spans="1:32" ht="18.5" x14ac:dyDescent="0.45">
      <c r="A12">
        <v>11</v>
      </c>
      <c r="C12" s="8" t="s">
        <v>87</v>
      </c>
      <c r="F12" t="s">
        <v>1100</v>
      </c>
      <c r="G12" t="s">
        <v>78</v>
      </c>
      <c r="K12" t="str">
        <v>VN-01-13-01</v>
      </c>
      <c r="M12" s="34"/>
    </row>
    <row r="13" spans="1:32" ht="18.5" x14ac:dyDescent="0.45">
      <c r="A13">
        <v>12</v>
      </c>
      <c r="C13" s="8" t="s">
        <v>50</v>
      </c>
      <c r="J13" t="s">
        <v>1039</v>
      </c>
      <c r="K13" t="str">
        <v>VN-01-16-01</v>
      </c>
    </row>
    <row r="14" spans="1:32" ht="18.5" x14ac:dyDescent="0.45">
      <c r="C14" s="8" t="s">
        <v>85</v>
      </c>
      <c r="J14" t="s">
        <v>108</v>
      </c>
      <c r="K14" t="str">
        <v>VN-01-16-02</v>
      </c>
      <c r="AC14" s="71">
        <v>46113.720150462963</v>
      </c>
      <c r="AD14" t="s">
        <v>1203</v>
      </c>
      <c r="AF14">
        <v>51700</v>
      </c>
    </row>
    <row r="15" spans="1:32" ht="18.5" x14ac:dyDescent="0.45">
      <c r="C15" s="8" t="s">
        <v>24</v>
      </c>
      <c r="J15" t="s">
        <v>1154</v>
      </c>
      <c r="K15" t="str">
        <v>VN-01-17-01</v>
      </c>
    </row>
    <row r="16" spans="1:32" ht="18.5" x14ac:dyDescent="0.45">
      <c r="C16" s="8" t="s">
        <v>45</v>
      </c>
      <c r="K16" t="str">
        <v>VN-01-20-01</v>
      </c>
    </row>
    <row r="17" spans="3:11" ht="18.5" x14ac:dyDescent="0.45">
      <c r="C17" s="8" t="s">
        <v>33</v>
      </c>
      <c r="K17" t="str">
        <v>VN-01-20-02</v>
      </c>
    </row>
    <row r="18" spans="3:11" ht="18.5" x14ac:dyDescent="0.45">
      <c r="C18" s="8" t="s">
        <v>86</v>
      </c>
      <c r="K18" t="str">
        <v>VN-01-20-03</v>
      </c>
    </row>
    <row r="19" spans="3:11" ht="18.5" x14ac:dyDescent="0.45">
      <c r="C19" s="8" t="s">
        <v>21</v>
      </c>
      <c r="K19" t="str">
        <v>VN-01-22-01</v>
      </c>
    </row>
    <row r="20" spans="3:11" ht="18.5" x14ac:dyDescent="0.45">
      <c r="C20" s="8" t="s">
        <v>5</v>
      </c>
      <c r="K20" t="str">
        <v>VN-01-24-01</v>
      </c>
    </row>
    <row r="21" spans="3:11" ht="18.5" x14ac:dyDescent="0.45">
      <c r="C21" s="8" t="s">
        <v>37</v>
      </c>
      <c r="K21" t="str">
        <v>VN-01-24-02</v>
      </c>
    </row>
    <row r="22" spans="3:11" ht="18.5" x14ac:dyDescent="0.45">
      <c r="C22" s="8" t="s">
        <v>34</v>
      </c>
      <c r="K22" t="str">
        <v>VN-01-30-01</v>
      </c>
    </row>
    <row r="23" spans="3:11" ht="18.5" x14ac:dyDescent="0.45">
      <c r="C23" s="8" t="s">
        <v>22</v>
      </c>
      <c r="K23" t="str">
        <v>VN-02-01-01</v>
      </c>
    </row>
    <row r="24" spans="3:11" ht="18.5" x14ac:dyDescent="0.45">
      <c r="C24" s="8" t="s">
        <v>84</v>
      </c>
      <c r="K24" t="str">
        <v>VN-02-04-01</v>
      </c>
    </row>
    <row r="25" spans="3:11" ht="18.5" x14ac:dyDescent="0.45">
      <c r="C25" s="8" t="s">
        <v>27</v>
      </c>
      <c r="K25" t="str">
        <v>VN-02-06-01</v>
      </c>
    </row>
    <row r="26" spans="3:11" ht="18.5" x14ac:dyDescent="0.45">
      <c r="C26" s="8" t="s">
        <v>41</v>
      </c>
      <c r="K26" t="str">
        <v>VN-02-12-01</v>
      </c>
    </row>
    <row r="27" spans="3:11" ht="18.5" x14ac:dyDescent="0.45">
      <c r="C27" s="8" t="s">
        <v>32</v>
      </c>
      <c r="K27" t="str">
        <v>VN-02-12-02</v>
      </c>
    </row>
    <row r="28" spans="3:11" ht="18.5" x14ac:dyDescent="0.45">
      <c r="C28" s="8" t="s">
        <v>4</v>
      </c>
      <c r="K28" t="str">
        <v>VN-02-12-03</v>
      </c>
    </row>
    <row r="29" spans="3:11" ht="18.5" x14ac:dyDescent="0.45">
      <c r="C29" s="8" t="s">
        <v>19</v>
      </c>
      <c r="K29" t="str">
        <v>VN-02-14-01</v>
      </c>
    </row>
    <row r="30" spans="3:11" ht="18.5" x14ac:dyDescent="0.45">
      <c r="C30" s="8" t="s">
        <v>56</v>
      </c>
      <c r="K30" t="str">
        <v>VN-02-14-02</v>
      </c>
    </row>
    <row r="31" spans="3:11" ht="18.5" x14ac:dyDescent="0.45">
      <c r="C31" s="8" t="s">
        <v>26</v>
      </c>
      <c r="K31" t="str">
        <v>VN-02-17-01</v>
      </c>
    </row>
    <row r="32" spans="3:11" ht="18.5" x14ac:dyDescent="0.45">
      <c r="C32" s="8" t="s">
        <v>40</v>
      </c>
      <c r="K32" t="str">
        <v>VN-02-17-02</v>
      </c>
    </row>
    <row r="33" spans="3:11" ht="18.5" x14ac:dyDescent="0.45">
      <c r="C33" s="8" t="s">
        <v>35</v>
      </c>
      <c r="K33" t="str">
        <v>VN-02-18-01</v>
      </c>
    </row>
    <row r="34" spans="3:11" ht="18.5" x14ac:dyDescent="0.45">
      <c r="C34" s="8" t="s">
        <v>30</v>
      </c>
      <c r="K34" t="str">
        <v>VN-02-19-01</v>
      </c>
    </row>
    <row r="35" spans="3:11" ht="18.5" x14ac:dyDescent="0.45">
      <c r="C35" s="8" t="s">
        <v>43</v>
      </c>
      <c r="K35" t="str">
        <v>VN-02-21-01</v>
      </c>
    </row>
    <row r="36" spans="3:11" ht="18.5" x14ac:dyDescent="0.45">
      <c r="C36" s="8" t="s">
        <v>38</v>
      </c>
      <c r="K36" t="str">
        <v>VN-02-21-02</v>
      </c>
    </row>
    <row r="37" spans="3:11" ht="18.5" x14ac:dyDescent="0.45">
      <c r="C37" s="8" t="s">
        <v>57</v>
      </c>
      <c r="K37" t="str">
        <v>VN-02-25-01</v>
      </c>
    </row>
    <row r="38" spans="3:11" ht="18.5" x14ac:dyDescent="0.45">
      <c r="C38" s="8" t="s">
        <v>44</v>
      </c>
      <c r="K38" t="str">
        <v>VN-02-27-01</v>
      </c>
    </row>
    <row r="39" spans="3:11" ht="18.5" x14ac:dyDescent="0.45">
      <c r="C39" s="8" t="s">
        <v>23</v>
      </c>
      <c r="K39" t="str">
        <v>VN-03-01-01</v>
      </c>
    </row>
    <row r="40" spans="3:11" ht="18.5" x14ac:dyDescent="0.45">
      <c r="C40" s="8" t="s">
        <v>29</v>
      </c>
      <c r="K40" t="str">
        <v>VN-03-021-01</v>
      </c>
    </row>
    <row r="41" spans="3:11" ht="18.5" x14ac:dyDescent="0.45">
      <c r="C41" s="8" t="s">
        <v>25</v>
      </c>
      <c r="K41" t="str">
        <v>VN-03-03-01</v>
      </c>
    </row>
    <row r="42" spans="3:11" ht="18.5" x14ac:dyDescent="0.45">
      <c r="C42" s="8" t="s">
        <v>88</v>
      </c>
      <c r="K42" t="str">
        <v>VN-03-04-01</v>
      </c>
    </row>
    <row r="43" spans="3:11" ht="18.5" x14ac:dyDescent="0.45">
      <c r="C43" s="8" t="s">
        <v>39</v>
      </c>
      <c r="K43" t="str">
        <v>VN-03-05-01</v>
      </c>
    </row>
    <row r="44" spans="3:11" ht="18.5" x14ac:dyDescent="0.45">
      <c r="C44" s="8" t="s">
        <v>31</v>
      </c>
      <c r="K44" t="str">
        <v>VN-03-06-01</v>
      </c>
    </row>
    <row r="45" spans="3:11" ht="18.5" x14ac:dyDescent="0.45">
      <c r="C45" s="8" t="s">
        <v>55</v>
      </c>
      <c r="K45" t="str">
        <v>VN-03-06-02</v>
      </c>
    </row>
    <row r="46" spans="3:11" ht="18.5" x14ac:dyDescent="0.45">
      <c r="C46" s="8" t="s">
        <v>42</v>
      </c>
      <c r="K46" t="str">
        <v>VN-03-10-01</v>
      </c>
    </row>
    <row r="47" spans="3:11" ht="18.5" x14ac:dyDescent="0.45">
      <c r="C47" s="8" t="s">
        <v>83</v>
      </c>
      <c r="K47" t="str">
        <v>VN-03-10-02</v>
      </c>
    </row>
    <row r="48" spans="3:11" ht="18.5" x14ac:dyDescent="0.45">
      <c r="C48" s="8" t="s">
        <v>47</v>
      </c>
      <c r="K48" t="str">
        <v>VN-03-11-01</v>
      </c>
    </row>
    <row r="49" spans="11:11" x14ac:dyDescent="0.35">
      <c r="K49" t="str">
        <v>VN-03-11-02</v>
      </c>
    </row>
    <row r="50" spans="11:11" x14ac:dyDescent="0.35">
      <c r="K50" t="str">
        <v>VN-03-13-01</v>
      </c>
    </row>
    <row r="51" spans="11:11" x14ac:dyDescent="0.35">
      <c r="K51" t="str">
        <v>VN-03-14-02</v>
      </c>
    </row>
    <row r="52" spans="11:11" x14ac:dyDescent="0.35">
      <c r="K52" t="str">
        <v>VN-03-17-01</v>
      </c>
    </row>
    <row r="53" spans="11:11" x14ac:dyDescent="0.35">
      <c r="K53" t="str">
        <v>VN-03-18-01</v>
      </c>
    </row>
    <row r="54" spans="11:11" x14ac:dyDescent="0.35">
      <c r="K54" t="str">
        <v>VN-03-21-01</v>
      </c>
    </row>
    <row r="55" spans="11:11" x14ac:dyDescent="0.35">
      <c r="K55" t="str">
        <v>VN-03-24-01</v>
      </c>
    </row>
    <row r="56" spans="11:11" x14ac:dyDescent="0.35">
      <c r="K56" t="str">
        <v>VN-03-25-01</v>
      </c>
    </row>
    <row r="57" spans="11:11" x14ac:dyDescent="0.35">
      <c r="K57" t="str">
        <v>VN-03-25-02</v>
      </c>
    </row>
    <row r="58" spans="11:11" x14ac:dyDescent="0.35">
      <c r="K58" t="str">
        <v>VN-03-26-01</v>
      </c>
    </row>
    <row r="59" spans="11:11" x14ac:dyDescent="0.35">
      <c r="K59" t="str">
        <v>VN-03-27-01</v>
      </c>
    </row>
    <row r="60" spans="11:11" x14ac:dyDescent="0.35">
      <c r="K60" t="str">
        <v>VN-03-28-01</v>
      </c>
    </row>
    <row r="61" spans="11:11" x14ac:dyDescent="0.35">
      <c r="K61" t="str">
        <v>VN-03-28-02</v>
      </c>
    </row>
    <row r="62" spans="11:11" x14ac:dyDescent="0.35">
      <c r="K62" t="str">
        <v>VN-03-28-03</v>
      </c>
    </row>
    <row r="63" spans="11:11" x14ac:dyDescent="0.35">
      <c r="K63" t="str">
        <v>VN-03-29-01</v>
      </c>
    </row>
    <row r="64" spans="11:11" x14ac:dyDescent="0.35">
      <c r="K64" t="str">
        <v>VN-04-01-01</v>
      </c>
    </row>
    <row r="65" spans="11:11" x14ac:dyDescent="0.35">
      <c r="K65" t="str">
        <v>VN-04-03-01</v>
      </c>
    </row>
    <row r="66" spans="11:11" x14ac:dyDescent="0.35">
      <c r="K66" t="str">
        <v>VN-04-03-02</v>
      </c>
    </row>
    <row r="67" spans="11:11" x14ac:dyDescent="0.35">
      <c r="K67" t="str">
        <v>VN-04-03-03</v>
      </c>
    </row>
    <row r="68" spans="11:11" x14ac:dyDescent="0.35">
      <c r="K68" t="str">
        <v>VN-04-04-01</v>
      </c>
    </row>
    <row r="69" spans="11:11" x14ac:dyDescent="0.35">
      <c r="K69" t="str">
        <v>VN-04-05-01</v>
      </c>
    </row>
    <row r="70" spans="11:11" x14ac:dyDescent="0.35">
      <c r="K70" t="str">
        <v>VN-04-08-01</v>
      </c>
    </row>
    <row r="71" spans="11:11" x14ac:dyDescent="0.35">
      <c r="K71" t="str">
        <v>VN-04-08-02</v>
      </c>
    </row>
    <row r="72" spans="11:11" x14ac:dyDescent="0.35">
      <c r="K72" t="str">
        <v>VN-04-08-03</v>
      </c>
    </row>
    <row r="73" spans="11:11" x14ac:dyDescent="0.35">
      <c r="K73" t="str">
        <v>VN-04-11-01</v>
      </c>
    </row>
    <row r="74" spans="11:11" x14ac:dyDescent="0.35">
      <c r="K74" t="str">
        <v>VN-04-11-02</v>
      </c>
    </row>
    <row r="75" spans="11:11" x14ac:dyDescent="0.35">
      <c r="K75" t="str">
        <v>VN-04-12-01</v>
      </c>
    </row>
    <row r="76" spans="11:11" x14ac:dyDescent="0.35">
      <c r="K76" t="str">
        <v>VN-04-13-01</v>
      </c>
    </row>
    <row r="77" spans="11:11" x14ac:dyDescent="0.35">
      <c r="K77" t="str">
        <v>VN-04-14-01</v>
      </c>
    </row>
    <row r="78" spans="11:11" x14ac:dyDescent="0.35">
      <c r="K78" t="str">
        <v>VN-04-15-01</v>
      </c>
    </row>
    <row r="79" spans="11:11" x14ac:dyDescent="0.35">
      <c r="K79" t="str">
        <v>VN-04-15-02</v>
      </c>
    </row>
    <row r="80" spans="11:11" x14ac:dyDescent="0.35">
      <c r="K80" t="str">
        <v>VN-04-16-01</v>
      </c>
    </row>
    <row r="81" spans="11:11" x14ac:dyDescent="0.35">
      <c r="K81" t="str">
        <v>VN-04-16-02</v>
      </c>
    </row>
    <row r="82" spans="11:11" x14ac:dyDescent="0.35">
      <c r="K82" t="str">
        <v>VN-04-16-03</v>
      </c>
    </row>
    <row r="83" spans="11:11" x14ac:dyDescent="0.35">
      <c r="K83" t="str">
        <v>VN-04-16-04</v>
      </c>
    </row>
    <row r="84" spans="11:11" x14ac:dyDescent="0.35">
      <c r="K84" t="str">
        <v>VN-04-17-01</v>
      </c>
    </row>
    <row r="85" spans="11:11" x14ac:dyDescent="0.35">
      <c r="K85" t="str">
        <v>VN-04-19-01</v>
      </c>
    </row>
    <row r="86" spans="11:11" x14ac:dyDescent="0.35">
      <c r="K86" t="str">
        <v>VN-04-21-01</v>
      </c>
    </row>
    <row r="87" spans="11:11" x14ac:dyDescent="0.35">
      <c r="K87" t="str">
        <v>VN-04-21-02</v>
      </c>
    </row>
    <row r="88" spans="11:11" x14ac:dyDescent="0.35">
      <c r="K88" t="str">
        <v>VN-04-23-01</v>
      </c>
    </row>
    <row r="89" spans="11:11" x14ac:dyDescent="0.35">
      <c r="K89" t="str">
        <v>VN-04-24-01</v>
      </c>
    </row>
    <row r="90" spans="11:11" x14ac:dyDescent="0.35">
      <c r="K90" t="str">
        <v>VN-04-24-02</v>
      </c>
    </row>
    <row r="91" spans="11:11" x14ac:dyDescent="0.35">
      <c r="K91" t="str">
        <v>VN-04-24-03</v>
      </c>
    </row>
    <row r="92" spans="11:11" x14ac:dyDescent="0.35">
      <c r="K92" t="str">
        <v>VN-04-28-01</v>
      </c>
    </row>
    <row r="93" spans="11:11" x14ac:dyDescent="0.35">
      <c r="K93" t="str">
        <v>VN-04-29-01</v>
      </c>
    </row>
    <row r="94" spans="11:11" x14ac:dyDescent="0.35">
      <c r="K94" t="str">
        <v>VN-04-30-01</v>
      </c>
    </row>
    <row r="95" spans="11:11" x14ac:dyDescent="0.35">
      <c r="K95" t="str">
        <v>VN-05-02-01</v>
      </c>
    </row>
    <row r="96" spans="11:11" x14ac:dyDescent="0.35">
      <c r="K96" t="str">
        <v>VN-05-02-02</v>
      </c>
    </row>
    <row r="97" spans="11:11" x14ac:dyDescent="0.35">
      <c r="K97" t="str">
        <v>VN-05-03-01</v>
      </c>
    </row>
    <row r="98" spans="11:11" x14ac:dyDescent="0.35">
      <c r="K98" t="str">
        <v>VN-05-03-02</v>
      </c>
    </row>
    <row r="99" spans="11:11" x14ac:dyDescent="0.35">
      <c r="K99" t="str">
        <v>VN-05-03-03</v>
      </c>
    </row>
    <row r="100" spans="11:11" x14ac:dyDescent="0.35">
      <c r="K100" t="str">
        <v>VN-05-06-01</v>
      </c>
    </row>
    <row r="101" spans="11:11" x14ac:dyDescent="0.35">
      <c r="K101" t="str">
        <v>VN-05-06-02</v>
      </c>
    </row>
    <row r="102" spans="11:11" x14ac:dyDescent="0.35">
      <c r="K102" t="str">
        <v>VN-05-08-01</v>
      </c>
    </row>
    <row r="103" spans="11:11" x14ac:dyDescent="0.35">
      <c r="K103" t="str">
        <v>VN-05-09-01</v>
      </c>
    </row>
    <row r="104" spans="11:11" x14ac:dyDescent="0.35">
      <c r="K104" t="str">
        <v>VN-05-09-02</v>
      </c>
    </row>
    <row r="105" spans="11:11" x14ac:dyDescent="0.35">
      <c r="K105" t="str">
        <v>VN-05-12-01</v>
      </c>
    </row>
    <row r="106" spans="11:11" x14ac:dyDescent="0.35">
      <c r="K106" t="str">
        <v>VN-05-12-02</v>
      </c>
    </row>
    <row r="107" spans="11:11" x14ac:dyDescent="0.35">
      <c r="K107" t="str">
        <v>VN-05-13-01</v>
      </c>
    </row>
    <row r="108" spans="11:11" x14ac:dyDescent="0.35">
      <c r="K108" t="str">
        <v>VN-05-13-02</v>
      </c>
    </row>
    <row r="109" spans="11:11" x14ac:dyDescent="0.35">
      <c r="K109" t="str">
        <v>VN-05-13-03</v>
      </c>
    </row>
    <row r="110" spans="11:11" x14ac:dyDescent="0.35">
      <c r="K110" t="str">
        <v>VN-05-14-01</v>
      </c>
    </row>
    <row r="111" spans="11:11" x14ac:dyDescent="0.35">
      <c r="K111" t="str">
        <v>VN-05-14-02</v>
      </c>
    </row>
    <row r="112" spans="11:11" x14ac:dyDescent="0.35">
      <c r="K112" t="str">
        <v>VN-05-15-01</v>
      </c>
    </row>
    <row r="113" spans="11:11" x14ac:dyDescent="0.35">
      <c r="K113" t="str">
        <v>VN-05-17-01</v>
      </c>
    </row>
    <row r="114" spans="11:11" x14ac:dyDescent="0.35">
      <c r="K114" t="str">
        <v>VN-05-19-01</v>
      </c>
    </row>
    <row r="115" spans="11:11" x14ac:dyDescent="0.35">
      <c r="K115" t="str">
        <v>VN-05-20-01</v>
      </c>
    </row>
    <row r="116" spans="11:11" x14ac:dyDescent="0.35">
      <c r="K116" t="str">
        <v>VN-05-22-01</v>
      </c>
    </row>
    <row r="117" spans="11:11" x14ac:dyDescent="0.35">
      <c r="K117" t="str">
        <v>VN-05-26-01</v>
      </c>
    </row>
    <row r="118" spans="11:11" x14ac:dyDescent="0.35">
      <c r="K118" t="str">
        <v>VN-05-27-01</v>
      </c>
    </row>
    <row r="119" spans="11:11" x14ac:dyDescent="0.35">
      <c r="K119" t="str">
        <v>VN-05-28-01</v>
      </c>
    </row>
    <row r="120" spans="11:11" x14ac:dyDescent="0.35">
      <c r="K120" t="str">
        <v>VN-05-29-01</v>
      </c>
    </row>
    <row r="121" spans="11:11" x14ac:dyDescent="0.35">
      <c r="K121" t="str">
        <v>VN-05-30-01</v>
      </c>
    </row>
    <row r="122" spans="11:11" x14ac:dyDescent="0.35">
      <c r="K122" t="str">
        <v>VN-06-01-01</v>
      </c>
    </row>
    <row r="123" spans="11:11" x14ac:dyDescent="0.35">
      <c r="K123" t="str">
        <v>VN-06-02-01</v>
      </c>
    </row>
    <row r="124" spans="11:11" x14ac:dyDescent="0.35">
      <c r="K124" t="str">
        <v>VN-06-02-02</v>
      </c>
    </row>
    <row r="125" spans="11:11" x14ac:dyDescent="0.35">
      <c r="K125" t="str">
        <v>VN-06-03-01</v>
      </c>
    </row>
    <row r="126" spans="11:11" x14ac:dyDescent="0.35">
      <c r="K126" t="str">
        <v>VN-06-05-01</v>
      </c>
    </row>
    <row r="127" spans="11:11" x14ac:dyDescent="0.35">
      <c r="K127" t="str">
        <v>VN-06-05-02</v>
      </c>
    </row>
    <row r="128" spans="11:11" x14ac:dyDescent="0.35">
      <c r="K128" t="str">
        <v>VN-06-10-01</v>
      </c>
    </row>
    <row r="129" spans="11:11" x14ac:dyDescent="0.35">
      <c r="K129" t="str">
        <v>VN-06-16-01</v>
      </c>
    </row>
    <row r="130" spans="11:11" x14ac:dyDescent="0.35">
      <c r="K130" t="str">
        <v>VN-06-16-02</v>
      </c>
    </row>
    <row r="131" spans="11:11" x14ac:dyDescent="0.35">
      <c r="K131" t="str">
        <v>VN-06-16-03</v>
      </c>
    </row>
    <row r="132" spans="11:11" x14ac:dyDescent="0.35">
      <c r="K132" t="str">
        <v>VN-06-17-01</v>
      </c>
    </row>
    <row r="133" spans="11:11" x14ac:dyDescent="0.35">
      <c r="K133" t="str">
        <v>VN-06-20-01</v>
      </c>
    </row>
    <row r="134" spans="11:11" x14ac:dyDescent="0.35">
      <c r="K134" t="str">
        <v>VN-06-21-01</v>
      </c>
    </row>
    <row r="135" spans="11:11" x14ac:dyDescent="0.35">
      <c r="K135" t="str">
        <v>VN-06-26-01</v>
      </c>
    </row>
    <row r="136" spans="11:11" x14ac:dyDescent="0.35">
      <c r="K136" t="str">
        <v>VN-06-30-01</v>
      </c>
    </row>
    <row r="137" spans="11:11" x14ac:dyDescent="0.35">
      <c r="K137" t="str">
        <v>VN-07-01-01</v>
      </c>
    </row>
    <row r="138" spans="11:11" x14ac:dyDescent="0.35">
      <c r="K138" t="str">
        <v>VN-07-01-02</v>
      </c>
    </row>
    <row r="139" spans="11:11" x14ac:dyDescent="0.35">
      <c r="K139" t="str">
        <v>VN-07-01-03</v>
      </c>
    </row>
    <row r="140" spans="11:11" x14ac:dyDescent="0.35">
      <c r="K140" t="str">
        <v>VN-07-02-01</v>
      </c>
    </row>
    <row r="141" spans="11:11" x14ac:dyDescent="0.35">
      <c r="K141" t="str">
        <v>VN-07-04-01</v>
      </c>
    </row>
    <row r="142" spans="11:11" x14ac:dyDescent="0.35">
      <c r="K142" t="str">
        <v>VN-07-04-02</v>
      </c>
    </row>
    <row r="143" spans="11:11" x14ac:dyDescent="0.35">
      <c r="K143" t="str">
        <v>VN-07-07-01</v>
      </c>
    </row>
    <row r="144" spans="11:11" x14ac:dyDescent="0.35">
      <c r="K144" t="str">
        <v>VN-07-09-01</v>
      </c>
    </row>
    <row r="145" spans="11:11" x14ac:dyDescent="0.35">
      <c r="K145" t="str">
        <v>VN-07-11-01</v>
      </c>
    </row>
    <row r="146" spans="11:11" x14ac:dyDescent="0.35">
      <c r="K146" t="str">
        <v>VN-07-15-01</v>
      </c>
    </row>
    <row r="147" spans="11:11" x14ac:dyDescent="0.35">
      <c r="K147" t="str">
        <v>VN-07-15-02</v>
      </c>
    </row>
    <row r="148" spans="11:11" x14ac:dyDescent="0.35">
      <c r="K148" t="str">
        <v>VN-07-15-03</v>
      </c>
    </row>
    <row r="149" spans="11:11" x14ac:dyDescent="0.35">
      <c r="K149" t="str">
        <v>VN-07-16-01</v>
      </c>
    </row>
    <row r="150" spans="11:11" x14ac:dyDescent="0.35">
      <c r="K150" t="str">
        <v>VN-07-16-02</v>
      </c>
    </row>
    <row r="151" spans="11:11" x14ac:dyDescent="0.35">
      <c r="K151" t="str">
        <v>VN-07-19-01</v>
      </c>
    </row>
    <row r="152" spans="11:11" x14ac:dyDescent="0.35">
      <c r="K152" t="str">
        <v>VN-07-20-01</v>
      </c>
    </row>
    <row r="153" spans="11:11" x14ac:dyDescent="0.35">
      <c r="K153" t="str">
        <v>VN-07-22-01</v>
      </c>
    </row>
    <row r="154" spans="11:11" x14ac:dyDescent="0.35">
      <c r="K154" t="str">
        <v>VN-07-23-01</v>
      </c>
    </row>
    <row r="155" spans="11:11" x14ac:dyDescent="0.35">
      <c r="K155" t="str">
        <v>VN-07-30-01</v>
      </c>
    </row>
    <row r="156" spans="11:11" x14ac:dyDescent="0.35">
      <c r="K156" t="str">
        <v>VN-08-01-02</v>
      </c>
    </row>
    <row r="157" spans="11:11" x14ac:dyDescent="0.35">
      <c r="K157" t="str">
        <v>VN-08-01-03</v>
      </c>
    </row>
    <row r="158" spans="11:11" x14ac:dyDescent="0.35">
      <c r="K158" t="str">
        <v>VN-08-01-04</v>
      </c>
    </row>
    <row r="159" spans="11:11" x14ac:dyDescent="0.35">
      <c r="K159" t="str">
        <v>VN-08-05-01</v>
      </c>
    </row>
    <row r="160" spans="11:11" x14ac:dyDescent="0.35">
      <c r="K160" t="str">
        <v>VN-08-07-01</v>
      </c>
    </row>
    <row r="161" spans="11:11" x14ac:dyDescent="0.35">
      <c r="K161" t="str">
        <v>VN-08-09-01</v>
      </c>
    </row>
    <row r="162" spans="11:11" x14ac:dyDescent="0.35">
      <c r="K162" t="str">
        <v>VN-08-15-01</v>
      </c>
    </row>
    <row r="163" spans="11:11" x14ac:dyDescent="0.35">
      <c r="K163" t="str">
        <v>VN-08-18-01</v>
      </c>
    </row>
    <row r="164" spans="11:11" x14ac:dyDescent="0.35">
      <c r="K164" t="str">
        <v>VN-08-19-01</v>
      </c>
    </row>
    <row r="165" spans="11:11" x14ac:dyDescent="0.35">
      <c r="K165" t="str">
        <v>VN-08-21-01</v>
      </c>
    </row>
    <row r="166" spans="11:11" x14ac:dyDescent="0.35">
      <c r="K166" t="str">
        <v>VN-09-01-01</v>
      </c>
    </row>
    <row r="167" spans="11:11" x14ac:dyDescent="0.35">
      <c r="K167" t="str">
        <v>VN-09-01-02</v>
      </c>
    </row>
    <row r="168" spans="11:11" x14ac:dyDescent="0.35">
      <c r="K168" t="str">
        <v>VN-09-01-03</v>
      </c>
    </row>
    <row r="169" spans="11:11" x14ac:dyDescent="0.35">
      <c r="K169" t="str">
        <v>VN-09-03-01</v>
      </c>
    </row>
    <row r="170" spans="11:11" x14ac:dyDescent="0.35">
      <c r="K170" t="str">
        <v>VN-09-06-02</v>
      </c>
    </row>
    <row r="171" spans="11:11" x14ac:dyDescent="0.35">
      <c r="K171" t="str">
        <v>VN-09-13-01</v>
      </c>
    </row>
    <row r="172" spans="11:11" x14ac:dyDescent="0.35">
      <c r="K172" t="str">
        <v>VN-09-30-01</v>
      </c>
    </row>
    <row r="173" spans="11:11" x14ac:dyDescent="0.35">
      <c r="K173" t="str">
        <v>VN-09-30-02</v>
      </c>
    </row>
    <row r="174" spans="11:11" x14ac:dyDescent="0.35">
      <c r="K174" t="str">
        <v>VN-10-02-01</v>
      </c>
    </row>
    <row r="175" spans="11:11" x14ac:dyDescent="0.35">
      <c r="K175" t="str">
        <v>VN-10-03-01</v>
      </c>
    </row>
    <row r="176" spans="11:11" x14ac:dyDescent="0.35">
      <c r="K176" t="str">
        <v>VN-10-06-01</v>
      </c>
    </row>
    <row r="177" spans="11:11" x14ac:dyDescent="0.35">
      <c r="K177" t="str">
        <v>VN-10-07-01</v>
      </c>
    </row>
    <row r="178" spans="11:11" x14ac:dyDescent="0.35">
      <c r="K178" t="str">
        <v>VN-10-10-01</v>
      </c>
    </row>
    <row r="179" spans="11:11" x14ac:dyDescent="0.35">
      <c r="K179" t="str">
        <v>VN-10-13-01</v>
      </c>
    </row>
    <row r="180" spans="11:11" x14ac:dyDescent="0.35">
      <c r="K180" t="str">
        <v>VN-10-13-02</v>
      </c>
    </row>
    <row r="181" spans="11:11" x14ac:dyDescent="0.35">
      <c r="K181" t="str">
        <v>VN-10-15-01</v>
      </c>
    </row>
    <row r="182" spans="11:11" x14ac:dyDescent="0.35">
      <c r="K182" t="str">
        <v>VN-10-16-01</v>
      </c>
    </row>
    <row r="183" spans="11:11" x14ac:dyDescent="0.35">
      <c r="K183" t="str">
        <v>VN-10-16-02</v>
      </c>
    </row>
    <row r="184" spans="11:11" x14ac:dyDescent="0.35">
      <c r="K184" t="str">
        <v>VN-10-22-01</v>
      </c>
    </row>
    <row r="185" spans="11:11" x14ac:dyDescent="0.35">
      <c r="K185" t="str">
        <v>VN-10-24-01</v>
      </c>
    </row>
    <row r="186" spans="11:11" x14ac:dyDescent="0.35">
      <c r="K186" t="str">
        <v>VN-10-31-01</v>
      </c>
    </row>
    <row r="187" spans="11:11" x14ac:dyDescent="0.35">
      <c r="K187" t="str">
        <v>VN-10-31-02</v>
      </c>
    </row>
    <row r="188" spans="11:11" x14ac:dyDescent="0.35">
      <c r="K188" t="str">
        <v>VN-10-31-03</v>
      </c>
    </row>
    <row r="189" spans="11:11" x14ac:dyDescent="0.35">
      <c r="K189" t="str">
        <v>VN-10-31-04</v>
      </c>
    </row>
    <row r="190" spans="11:11" x14ac:dyDescent="0.35">
      <c r="K190" t="str">
        <v>VN-11-10-02</v>
      </c>
    </row>
    <row r="191" spans="11:11" x14ac:dyDescent="0.35">
      <c r="K191" t="str">
        <v>VN-11-11-01</v>
      </c>
    </row>
    <row r="192" spans="11:11" x14ac:dyDescent="0.35">
      <c r="K192" t="str">
        <v>VN-11-12-01</v>
      </c>
    </row>
    <row r="193" spans="11:11" x14ac:dyDescent="0.35">
      <c r="K193" t="str">
        <v>VN-11-12-02</v>
      </c>
    </row>
    <row r="194" spans="11:11" x14ac:dyDescent="0.35">
      <c r="K194" t="str">
        <v>VN-11-19-01</v>
      </c>
    </row>
    <row r="195" spans="11:11" x14ac:dyDescent="0.35">
      <c r="K195" t="str">
        <v>VN-11-26-02</v>
      </c>
    </row>
    <row r="196" spans="11:11" x14ac:dyDescent="0.35">
      <c r="K196" t="str">
        <v>VN-11-28-01</v>
      </c>
    </row>
    <row r="197" spans="11:11" x14ac:dyDescent="0.35">
      <c r="K197" t="str">
        <v>VN-11-28-02</v>
      </c>
    </row>
    <row r="198" spans="11:11" x14ac:dyDescent="0.35">
      <c r="K198" t="str">
        <v>VN-12-01-01</v>
      </c>
    </row>
    <row r="199" spans="11:11" x14ac:dyDescent="0.35">
      <c r="K199" t="str">
        <v>VN-12-03-01</v>
      </c>
    </row>
    <row r="200" spans="11:11" x14ac:dyDescent="0.35">
      <c r="K200" t="str">
        <v>VN-12-21-01</v>
      </c>
    </row>
    <row r="201" spans="11:11" x14ac:dyDescent="0.35">
      <c r="K201" t="str">
        <v>VN-12-09-02</v>
      </c>
    </row>
    <row r="202" spans="11:11" x14ac:dyDescent="0.35">
      <c r="K202" t="str">
        <v>VN-11-04-01</v>
      </c>
    </row>
    <row r="203" spans="11:11" x14ac:dyDescent="0.35">
      <c r="K203" t="str">
        <v>VN-12-16-01</v>
      </c>
    </row>
    <row r="204" spans="11:11" x14ac:dyDescent="0.35">
      <c r="K204" t="str">
        <v>VN-12-12-01</v>
      </c>
    </row>
    <row r="205" spans="11:11" x14ac:dyDescent="0.35">
      <c r="K205" t="str">
        <v>VN-12-09-01</v>
      </c>
    </row>
    <row r="206" spans="11:11" x14ac:dyDescent="0.35">
      <c r="K206" t="str">
        <v>VN-12-05-01</v>
      </c>
    </row>
    <row r="207" spans="11:11" x14ac:dyDescent="0.35">
      <c r="K207" t="str">
        <v>VN-12-03-03</v>
      </c>
    </row>
    <row r="208" spans="11:11" x14ac:dyDescent="0.35">
      <c r="K208" t="str">
        <v>VN-12-03-02</v>
      </c>
    </row>
    <row r="209" spans="11:11" x14ac:dyDescent="0.35">
      <c r="K209" t="str">
        <v>VN-11-26-01</v>
      </c>
    </row>
    <row r="210" spans="11:11" x14ac:dyDescent="0.35">
      <c r="K210" t="str">
        <v>VN-09-24-01</v>
      </c>
    </row>
    <row r="211" spans="11:11" x14ac:dyDescent="0.35">
      <c r="K211" t="str">
        <v>VN-09-06-01</v>
      </c>
    </row>
    <row r="212" spans="11:11" x14ac:dyDescent="0.35">
      <c r="K212" t="str">
        <v>VN-09-16-01</v>
      </c>
    </row>
    <row r="213" spans="11:11" x14ac:dyDescent="0.35">
      <c r="K213" t="str">
        <v>VN-07-21-01</v>
      </c>
    </row>
    <row r="214" spans="11:11" x14ac:dyDescent="0.35">
      <c r="K214" t="str">
        <v>VN-08-01-05</v>
      </c>
    </row>
    <row r="215" spans="11:11" x14ac:dyDescent="0.35">
      <c r="K215" t="str">
        <v>VN-08-04-01</v>
      </c>
    </row>
    <row r="216" spans="11:11" x14ac:dyDescent="0.35">
      <c r="K216" t="str">
        <v>VN-08-11-01</v>
      </c>
    </row>
    <row r="217" spans="11:11" x14ac:dyDescent="0.35">
      <c r="K217" t="str">
        <v>VN-06-27-01</v>
      </c>
    </row>
    <row r="218" spans="11:11" x14ac:dyDescent="0.35">
      <c r="K218" t="str">
        <v>VN-11-10-01</v>
      </c>
    </row>
    <row r="219" spans="11:11" x14ac:dyDescent="0.35">
      <c r="K219" t="str">
        <v>VN-11-07-02</v>
      </c>
    </row>
    <row r="220" spans="11:11" x14ac:dyDescent="0.35">
      <c r="K220" t="str">
        <v>VN-11-07-01</v>
      </c>
    </row>
    <row r="221" spans="11:11" x14ac:dyDescent="0.35">
      <c r="K221" t="str">
        <v>VN-08-01-01</v>
      </c>
    </row>
    <row r="222" spans="11:11" x14ac:dyDescent="0.35">
      <c r="K222" t="str">
        <v>VN-11-21-01</v>
      </c>
    </row>
  </sheetData>
  <pageMargins left="0.7" right="0.7" top="0.75" bottom="0.75" header="0.3" footer="0.3"/>
  <pageSetup paperSize="9" scale="84" fitToHeight="0" orientation="portrait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4D79-6C79-47C8-B333-12580C5397A1}">
  <sheetPr codeName="Sheet4">
    <pageSetUpPr fitToPage="1"/>
  </sheetPr>
  <dimension ref="A1:P62"/>
  <sheetViews>
    <sheetView zoomScaleNormal="100" workbookViewId="0">
      <selection activeCell="D1" sqref="D1"/>
    </sheetView>
  </sheetViews>
  <sheetFormatPr defaultRowHeight="14.5" x14ac:dyDescent="0.35"/>
  <cols>
    <col min="1" max="1" width="41.26953125" bestFit="1" customWidth="1"/>
    <col min="2" max="2" width="12.1796875" style="9" bestFit="1" customWidth="1"/>
    <col min="3" max="3" width="20.453125" style="9" bestFit="1" customWidth="1"/>
    <col min="4" max="4" width="21.26953125" style="6" bestFit="1" customWidth="1"/>
    <col min="5" max="6" width="18.26953125" style="6" bestFit="1" customWidth="1"/>
    <col min="7" max="9" width="19.81640625" style="6" bestFit="1" customWidth="1"/>
    <col min="10" max="10" width="18.26953125" style="6" bestFit="1" customWidth="1"/>
    <col min="11" max="11" width="19.81640625" style="6" bestFit="1" customWidth="1"/>
    <col min="12" max="13" width="18.26953125" style="6" bestFit="1" customWidth="1"/>
    <col min="14" max="14" width="15.08984375" style="6" customWidth="1"/>
    <col min="15" max="15" width="14.54296875" style="6" customWidth="1"/>
    <col min="16" max="16" width="12.54296875" style="6" customWidth="1"/>
  </cols>
  <sheetData>
    <row r="1" spans="1:16" ht="18.5" x14ac:dyDescent="0.45">
      <c r="A1" s="2" t="s">
        <v>3</v>
      </c>
      <c r="B1" s="16" t="s">
        <v>60</v>
      </c>
      <c r="C1" s="16" t="s">
        <v>52</v>
      </c>
      <c r="D1" s="3" t="s">
        <v>51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</row>
    <row r="2" spans="1:16" ht="18.5" x14ac:dyDescent="0.45">
      <c r="A2" s="1" t="s">
        <v>49</v>
      </c>
      <c r="B2" s="17">
        <f>+RANK(Table4[[#This Row],[Total]],Table4[Total],0)</f>
        <v>43</v>
      </c>
      <c r="C2" s="17">
        <f>+COUNTIF(ExpenseTable[Category],Table4[[#This Row],[Category]])</f>
        <v>1</v>
      </c>
      <c r="D2" s="4">
        <f>+SUMIF(ExpenseTable[Category],Table4[[#This Row],[Category]],ExpenseTable[Amount])</f>
        <v>1000</v>
      </c>
      <c r="E2" s="3">
        <f>+SUMIFS(ExpenseTable[Amount],ExpenseTable[Category],Table4[[#This Row],[Category]],ExpenseTable[Mth],1)</f>
        <v>0</v>
      </c>
      <c r="F2" s="3">
        <f>+SUMIFS(ExpenseTable[Amount],ExpenseTable[Category],Table4[[#This Row],[Category]],ExpenseTable[Mth],2)</f>
        <v>0</v>
      </c>
      <c r="G2" s="3">
        <f>+SUMIFS(ExpenseTable[Amount],ExpenseTable[Category],Table4[[#This Row],[Category]],ExpenseTable[Mth],3)</f>
        <v>0</v>
      </c>
      <c r="H2" s="3">
        <f>+SUMIFS(ExpenseTable[Amount],ExpenseTable[Category],Table4[[#This Row],[Category]],ExpenseTable[Mth],4)</f>
        <v>0</v>
      </c>
      <c r="I2" s="3">
        <f>+SUMIFS(ExpenseTable[Amount],ExpenseTable[Category],Table4[[#This Row],[Category]],ExpenseTable[Mth],5)</f>
        <v>0</v>
      </c>
      <c r="J2" s="3">
        <f>+SUMIFS(ExpenseTable[Amount],ExpenseTable[Category],Table4[[#This Row],[Category]],ExpenseTable[Mth],6)</f>
        <v>0</v>
      </c>
      <c r="K2" s="3">
        <f>+SUMIFS(ExpenseTable[Amount],ExpenseTable[Category],Table4[[#This Row],[Category]],ExpenseTable[Mth],7)</f>
        <v>0</v>
      </c>
      <c r="L2" s="3">
        <f>+SUMIFS(ExpenseTable[Amount],ExpenseTable[Category],Table4[[#This Row],[Category]],ExpenseTable[Mth],8)</f>
        <v>1000</v>
      </c>
      <c r="M2" s="3">
        <f>+SUMIFS(ExpenseTable[Amount],ExpenseTable[Category],Table4[[#This Row],[Category]],ExpenseTable[Mth],9)</f>
        <v>0</v>
      </c>
      <c r="N2" s="3">
        <f>+SUMIFS(ExpenseTable[Amount],ExpenseTable[Category],Table4[[#This Row],[Category]],ExpenseTable[Mth],10)</f>
        <v>0</v>
      </c>
      <c r="O2" s="3">
        <f>+SUMIFS(ExpenseTable[Amount],ExpenseTable[Category],Table4[[#This Row],[Category]],ExpenseTable[Mth],11)</f>
        <v>0</v>
      </c>
      <c r="P2" s="3">
        <f>+SUMIFS(ExpenseTable[Amount],ExpenseTable[Category],Table4[[#This Row],[Category]],ExpenseTable[Mth],12)</f>
        <v>0</v>
      </c>
    </row>
    <row r="3" spans="1:16" ht="18.5" x14ac:dyDescent="0.45">
      <c r="A3" s="1" t="s">
        <v>28</v>
      </c>
      <c r="B3" s="17">
        <f>+RANK(Table4[[#This Row],[Total]],Table4[Total],0)</f>
        <v>41</v>
      </c>
      <c r="C3" s="17">
        <f>+COUNTIF(ExpenseTable[Category],Table4[[#This Row],[Category]])</f>
        <v>2</v>
      </c>
      <c r="D3" s="4">
        <f>+SUMIF(ExpenseTable[Category],Table4[[#This Row],[Category]],ExpenseTable[Amount])</f>
        <v>10050.969999999999</v>
      </c>
      <c r="E3" s="3">
        <f>+SUMIFS(ExpenseTable[Amount],ExpenseTable[Category],Table4[[#This Row],[Category]],ExpenseTable[Mth],1)</f>
        <v>0</v>
      </c>
      <c r="F3" s="3">
        <f>+SUMIFS(ExpenseTable[Amount],ExpenseTable[Category],Table4[[#This Row],[Category]],ExpenseTable[Mth],2)</f>
        <v>1267.3</v>
      </c>
      <c r="G3" s="3">
        <f>+SUMIFS(ExpenseTable[Amount],ExpenseTable[Category],Table4[[#This Row],[Category]],ExpenseTable[Mth],3)</f>
        <v>0</v>
      </c>
      <c r="H3" s="3">
        <f>+SUMIFS(ExpenseTable[Amount],ExpenseTable[Category],Table4[[#This Row],[Category]],ExpenseTable[Mth],4)</f>
        <v>0</v>
      </c>
      <c r="I3" s="3">
        <f>+SUMIFS(ExpenseTable[Amount],ExpenseTable[Category],Table4[[#This Row],[Category]],ExpenseTable[Mth],5)</f>
        <v>8783.67</v>
      </c>
      <c r="J3" s="3">
        <f>+SUMIFS(ExpenseTable[Amount],ExpenseTable[Category],Table4[[#This Row],[Category]],ExpenseTable[Mth],6)</f>
        <v>0</v>
      </c>
      <c r="K3" s="3">
        <f>+SUMIFS(ExpenseTable[Amount],ExpenseTable[Category],Table4[[#This Row],[Category]],ExpenseTable[Mth],7)</f>
        <v>0</v>
      </c>
      <c r="L3" s="3">
        <f>+SUMIFS(ExpenseTable[Amount],ExpenseTable[Category],Table4[[#This Row],[Category]],ExpenseTable[Mth],8)</f>
        <v>0</v>
      </c>
      <c r="M3" s="3">
        <f>+SUMIFS(ExpenseTable[Amount],ExpenseTable[Category],Table4[[#This Row],[Category]],ExpenseTable[Mth],9)</f>
        <v>0</v>
      </c>
      <c r="N3" s="3">
        <f>+SUMIFS(ExpenseTable[Amount],ExpenseTable[Category],Table4[[#This Row],[Category]],ExpenseTable[Mth],10)</f>
        <v>0</v>
      </c>
      <c r="O3" s="3">
        <f>+SUMIFS(ExpenseTable[Amount],ExpenseTable[Category],Table4[[#This Row],[Category]],ExpenseTable[Mth],11)</f>
        <v>0</v>
      </c>
      <c r="P3" s="3">
        <f>+SUMIFS(ExpenseTable[Amount],ExpenseTable[Category],Table4[[#This Row],[Category]],ExpenseTable[Mth],12)</f>
        <v>0</v>
      </c>
    </row>
    <row r="4" spans="1:16" ht="18.5" x14ac:dyDescent="0.45">
      <c r="A4" s="1" t="s">
        <v>46</v>
      </c>
      <c r="B4" s="17">
        <f>+RANK(Table4[[#This Row],[Total]],Table4[Total],0)</f>
        <v>34</v>
      </c>
      <c r="C4" s="17">
        <f>+COUNTIF(ExpenseTable[Category],Table4[[#This Row],[Category]])</f>
        <v>2</v>
      </c>
      <c r="D4" s="4">
        <f>+SUMIF(ExpenseTable[Category],Table4[[#This Row],[Category]],ExpenseTable[Amount])</f>
        <v>150000</v>
      </c>
      <c r="E4" s="3">
        <f>+SUMIFS(ExpenseTable[Amount],ExpenseTable[Category],Table4[[#This Row],[Category]],ExpenseTable[Mth],1)</f>
        <v>0</v>
      </c>
      <c r="F4" s="3">
        <f>+SUMIFS(ExpenseTable[Amount],ExpenseTable[Category],Table4[[#This Row],[Category]],ExpenseTable[Mth],2)</f>
        <v>50000</v>
      </c>
      <c r="G4" s="3">
        <f>+SUMIFS(ExpenseTable[Amount],ExpenseTable[Category],Table4[[#This Row],[Category]],ExpenseTable[Mth],3)</f>
        <v>0</v>
      </c>
      <c r="H4" s="3">
        <f>+SUMIFS(ExpenseTable[Amount],ExpenseTable[Category],Table4[[#This Row],[Category]],ExpenseTable[Mth],4)</f>
        <v>0</v>
      </c>
      <c r="I4" s="3">
        <f>+SUMIFS(ExpenseTable[Amount],ExpenseTable[Category],Table4[[#This Row],[Category]],ExpenseTable[Mth],5)</f>
        <v>0</v>
      </c>
      <c r="J4" s="3">
        <f>+SUMIFS(ExpenseTable[Amount],ExpenseTable[Category],Table4[[#This Row],[Category]],ExpenseTable[Mth],6)</f>
        <v>0</v>
      </c>
      <c r="K4" s="3">
        <f>+SUMIFS(ExpenseTable[Amount],ExpenseTable[Category],Table4[[#This Row],[Category]],ExpenseTable[Mth],7)</f>
        <v>0</v>
      </c>
      <c r="L4" s="3">
        <f>+SUMIFS(ExpenseTable[Amount],ExpenseTable[Category],Table4[[#This Row],[Category]],ExpenseTable[Mth],8)</f>
        <v>0</v>
      </c>
      <c r="M4" s="3">
        <f>+SUMIFS(ExpenseTable[Amount],ExpenseTable[Category],Table4[[#This Row],[Category]],ExpenseTable[Mth],9)</f>
        <v>0</v>
      </c>
      <c r="N4" s="3">
        <f>+SUMIFS(ExpenseTable[Amount],ExpenseTable[Category],Table4[[#This Row],[Category]],ExpenseTable[Mth],10)</f>
        <v>0</v>
      </c>
      <c r="O4" s="3">
        <f>+SUMIFS(ExpenseTable[Amount],ExpenseTable[Category],Table4[[#This Row],[Category]],ExpenseTable[Mth],11)</f>
        <v>100000</v>
      </c>
      <c r="P4" s="3">
        <f>+SUMIFS(ExpenseTable[Amount],ExpenseTable[Category],Table4[[#This Row],[Category]],ExpenseTable[Mth],12)</f>
        <v>0</v>
      </c>
    </row>
    <row r="5" spans="1:16" ht="18.5" x14ac:dyDescent="0.45">
      <c r="A5" s="1" t="s">
        <v>36</v>
      </c>
      <c r="B5" s="17">
        <f>+RANK(Table4[[#This Row],[Total]],Table4[Total],0)</f>
        <v>44</v>
      </c>
      <c r="C5" s="17">
        <f>+COUNTIF(ExpenseTable[Category],Table4[[#This Row],[Category]])</f>
        <v>0</v>
      </c>
      <c r="D5" s="4">
        <f>+SUMIF(ExpenseTable[Category],Table4[[#This Row],[Category]],ExpenseTable[Amount])</f>
        <v>0</v>
      </c>
      <c r="E5" s="3">
        <f>+SUMIFS(ExpenseTable[Amount],ExpenseTable[Category],Table4[[#This Row],[Category]],ExpenseTable[Mth],1)</f>
        <v>0</v>
      </c>
      <c r="F5" s="3">
        <f>+SUMIFS(ExpenseTable[Amount],ExpenseTable[Category],Table4[[#This Row],[Category]],ExpenseTable[Mth],2)</f>
        <v>0</v>
      </c>
      <c r="G5" s="3">
        <f>+SUMIFS(ExpenseTable[Amount],ExpenseTable[Category],Table4[[#This Row],[Category]],ExpenseTable[Mth],3)</f>
        <v>0</v>
      </c>
      <c r="H5" s="3">
        <f>+SUMIFS(ExpenseTable[Amount],ExpenseTable[Category],Table4[[#This Row],[Category]],ExpenseTable[Mth],4)</f>
        <v>0</v>
      </c>
      <c r="I5" s="3">
        <f>+SUMIFS(ExpenseTable[Amount],ExpenseTable[Category],Table4[[#This Row],[Category]],ExpenseTable[Mth],5)</f>
        <v>0</v>
      </c>
      <c r="J5" s="3">
        <f>+SUMIFS(ExpenseTable[Amount],ExpenseTable[Category],Table4[[#This Row],[Category]],ExpenseTable[Mth],6)</f>
        <v>0</v>
      </c>
      <c r="K5" s="3">
        <f>+SUMIFS(ExpenseTable[Amount],ExpenseTable[Category],Table4[[#This Row],[Category]],ExpenseTable[Mth],7)</f>
        <v>0</v>
      </c>
      <c r="L5" s="3">
        <f>+SUMIFS(ExpenseTable[Amount],ExpenseTable[Category],Table4[[#This Row],[Category]],ExpenseTable[Mth],8)</f>
        <v>0</v>
      </c>
      <c r="M5" s="3">
        <f>+SUMIFS(ExpenseTable[Amount],ExpenseTable[Category],Table4[[#This Row],[Category]],ExpenseTable[Mth],9)</f>
        <v>0</v>
      </c>
      <c r="N5" s="3">
        <f>+SUMIFS(ExpenseTable[Amount],ExpenseTable[Category],Table4[[#This Row],[Category]],ExpenseTable[Mth],10)</f>
        <v>0</v>
      </c>
      <c r="O5" s="3">
        <f>+SUMIFS(ExpenseTable[Amount],ExpenseTable[Category],Table4[[#This Row],[Category]],ExpenseTable[Mth],11)</f>
        <v>0</v>
      </c>
      <c r="P5" s="3">
        <f>+SUMIFS(ExpenseTable[Amount],ExpenseTable[Category],Table4[[#This Row],[Category]],ExpenseTable[Mth],12)</f>
        <v>0</v>
      </c>
    </row>
    <row r="6" spans="1:16" ht="18.5" x14ac:dyDescent="0.45">
      <c r="A6" s="1" t="s">
        <v>82</v>
      </c>
      <c r="B6" s="17">
        <f>+RANK(Table4[[#This Row],[Total]],Table4[Total],0)</f>
        <v>38</v>
      </c>
      <c r="C6" s="17">
        <f>+COUNTIF(ExpenseTable[Category],Table4[[#This Row],[Category]])</f>
        <v>2</v>
      </c>
      <c r="D6" s="4">
        <f>+SUMIF(ExpenseTable[Category],Table4[[#This Row],[Category]],ExpenseTable[Amount])</f>
        <v>51000</v>
      </c>
      <c r="E6" s="3">
        <f>+SUMIFS(ExpenseTable[Amount],ExpenseTable[Category],Table4[[#This Row],[Category]],ExpenseTable[Mth],1)</f>
        <v>0</v>
      </c>
      <c r="F6" s="3">
        <f>+SUMIFS(ExpenseTable[Amount],ExpenseTable[Category],Table4[[#This Row],[Category]],ExpenseTable[Mth],2)</f>
        <v>0</v>
      </c>
      <c r="G6" s="3">
        <f>+SUMIFS(ExpenseTable[Amount],ExpenseTable[Category],Table4[[#This Row],[Category]],ExpenseTable[Mth],3)</f>
        <v>0</v>
      </c>
      <c r="H6" s="3">
        <f>+SUMIFS(ExpenseTable[Amount],ExpenseTable[Category],Table4[[#This Row],[Category]],ExpenseTable[Mth],4)</f>
        <v>0</v>
      </c>
      <c r="I6" s="3">
        <f>+SUMIFS(ExpenseTable[Amount],ExpenseTable[Category],Table4[[#This Row],[Category]],ExpenseTable[Mth],5)</f>
        <v>51000</v>
      </c>
      <c r="J6" s="3">
        <f>+SUMIFS(ExpenseTable[Amount],ExpenseTable[Category],Table4[[#This Row],[Category]],ExpenseTable[Mth],6)</f>
        <v>0</v>
      </c>
      <c r="K6" s="3">
        <f>+SUMIFS(ExpenseTable[Amount],ExpenseTable[Category],Table4[[#This Row],[Category]],ExpenseTable[Mth],7)</f>
        <v>0</v>
      </c>
      <c r="L6" s="3">
        <f>+SUMIFS(ExpenseTable[Amount],ExpenseTable[Category],Table4[[#This Row],[Category]],ExpenseTable[Mth],8)</f>
        <v>0</v>
      </c>
      <c r="M6" s="3">
        <f>+SUMIFS(ExpenseTable[Amount],ExpenseTable[Category],Table4[[#This Row],[Category]],ExpenseTable[Mth],9)</f>
        <v>0</v>
      </c>
      <c r="N6" s="3">
        <f>+SUMIFS(ExpenseTable[Amount],ExpenseTable[Category],Table4[[#This Row],[Category]],ExpenseTable[Mth],10)</f>
        <v>0</v>
      </c>
      <c r="O6" s="3">
        <f>+SUMIFS(ExpenseTable[Amount],ExpenseTable[Category],Table4[[#This Row],[Category]],ExpenseTable[Mth],11)</f>
        <v>0</v>
      </c>
      <c r="P6" s="3">
        <f>+SUMIFS(ExpenseTable[Amount],ExpenseTable[Category],Table4[[#This Row],[Category]],ExpenseTable[Mth],12)</f>
        <v>0</v>
      </c>
    </row>
    <row r="7" spans="1:16" ht="18.5" x14ac:dyDescent="0.45">
      <c r="A7" s="1" t="s">
        <v>20</v>
      </c>
      <c r="B7" s="17">
        <f>+RANK(Table4[[#This Row],[Total]],Table4[Total],0)</f>
        <v>16</v>
      </c>
      <c r="C7" s="17">
        <f>+COUNTIF(ExpenseTable[Category],Table4[[#This Row],[Category]])</f>
        <v>29</v>
      </c>
      <c r="D7" s="4">
        <f>+SUMIF(ExpenseTable[Category],Table4[[#This Row],[Category]],ExpenseTable[Amount])</f>
        <v>2883547.42</v>
      </c>
      <c r="E7" s="3">
        <f>+SUMIFS(ExpenseTable[Amount],ExpenseTable[Category],Table4[[#This Row],[Category]],ExpenseTable[Mth],1)</f>
        <v>544524.42000000004</v>
      </c>
      <c r="F7" s="3">
        <f>+SUMIFS(ExpenseTable[Amount],ExpenseTable[Category],Table4[[#This Row],[Category]],ExpenseTable[Mth],2)</f>
        <v>20000</v>
      </c>
      <c r="G7" s="3">
        <f>+SUMIFS(ExpenseTable[Amount],ExpenseTable[Category],Table4[[#This Row],[Category]],ExpenseTable[Mth],3)</f>
        <v>195000</v>
      </c>
      <c r="H7" s="3">
        <f>+SUMIFS(ExpenseTable[Amount],ExpenseTable[Category],Table4[[#This Row],[Category]],ExpenseTable[Mth],4)</f>
        <v>80000</v>
      </c>
      <c r="I7" s="3">
        <f>+SUMIFS(ExpenseTable[Amount],ExpenseTable[Category],Table4[[#This Row],[Category]],ExpenseTable[Mth],5)</f>
        <v>80000</v>
      </c>
      <c r="J7" s="3">
        <f>+SUMIFS(ExpenseTable[Amount],ExpenseTable[Category],Table4[[#This Row],[Category]],ExpenseTable[Mth],6)</f>
        <v>0</v>
      </c>
      <c r="K7" s="3">
        <f>+SUMIFS(ExpenseTable[Amount],ExpenseTable[Category],Table4[[#This Row],[Category]],ExpenseTable[Mth],7)</f>
        <v>205000</v>
      </c>
      <c r="L7" s="3">
        <f>+SUMIFS(ExpenseTable[Amount],ExpenseTable[Category],Table4[[#This Row],[Category]],ExpenseTable[Mth],8)</f>
        <v>0</v>
      </c>
      <c r="M7" s="3">
        <f>+SUMIFS(ExpenseTable[Amount],ExpenseTable[Category],Table4[[#This Row],[Category]],ExpenseTable[Mth],9)</f>
        <v>300000</v>
      </c>
      <c r="N7" s="3">
        <f>+SUMIFS(ExpenseTable[Amount],ExpenseTable[Category],Table4[[#This Row],[Category]],ExpenseTable[Mth],10)</f>
        <v>145000</v>
      </c>
      <c r="O7" s="3">
        <f>+SUMIFS(ExpenseTable[Amount],ExpenseTable[Category],Table4[[#This Row],[Category]],ExpenseTable[Mth],11)</f>
        <v>756450</v>
      </c>
      <c r="P7" s="3">
        <f>+SUMIFS(ExpenseTable[Amount],ExpenseTable[Category],Table4[[#This Row],[Category]],ExpenseTable[Mth],12)</f>
        <v>557573</v>
      </c>
    </row>
    <row r="8" spans="1:16" ht="18.5" x14ac:dyDescent="0.45">
      <c r="A8" s="1" t="s">
        <v>96</v>
      </c>
      <c r="B8" s="17">
        <f>+RANK(Table4[[#This Row],[Total]],Table4[Total],0)</f>
        <v>7</v>
      </c>
      <c r="C8" s="17">
        <f>+COUNTIF(ExpenseTable[Category],Table4[[#This Row],[Category]])</f>
        <v>10</v>
      </c>
      <c r="D8" s="4">
        <f>+SUMIF(ExpenseTable[Category],Table4[[#This Row],[Category]],ExpenseTable[Amount])</f>
        <v>9255543.6500000004</v>
      </c>
      <c r="E8" s="3">
        <f>+SUMIFS(ExpenseTable[Amount],ExpenseTable[Category],Table4[[#This Row],[Category]],ExpenseTable[Mth],1)</f>
        <v>0</v>
      </c>
      <c r="F8" s="3">
        <f>+SUMIFS(ExpenseTable[Amount],ExpenseTable[Category],Table4[[#This Row],[Category]],ExpenseTable[Mth],2)</f>
        <v>0</v>
      </c>
      <c r="G8" s="3">
        <f>+SUMIFS(ExpenseTable[Amount],ExpenseTable[Category],Table4[[#This Row],[Category]],ExpenseTable[Mth],3)</f>
        <v>0</v>
      </c>
      <c r="H8" s="3">
        <f>+SUMIFS(ExpenseTable[Amount],ExpenseTable[Category],Table4[[#This Row],[Category]],ExpenseTable[Mth],4)</f>
        <v>0</v>
      </c>
      <c r="I8" s="3">
        <f>+SUMIFS(ExpenseTable[Amount],ExpenseTable[Category],Table4[[#This Row],[Category]],ExpenseTable[Mth],5)</f>
        <v>2968000</v>
      </c>
      <c r="J8" s="3">
        <f>+SUMIFS(ExpenseTable[Amount],ExpenseTable[Category],Table4[[#This Row],[Category]],ExpenseTable[Mth],6)</f>
        <v>257343.65</v>
      </c>
      <c r="K8" s="3">
        <f>+SUMIFS(ExpenseTable[Amount],ExpenseTable[Category],Table4[[#This Row],[Category]],ExpenseTable[Mth],7)</f>
        <v>0</v>
      </c>
      <c r="L8" s="3">
        <f>+SUMIFS(ExpenseTable[Amount],ExpenseTable[Category],Table4[[#This Row],[Category]],ExpenseTable[Mth],8)</f>
        <v>880000</v>
      </c>
      <c r="M8" s="3">
        <f>+SUMIFS(ExpenseTable[Amount],ExpenseTable[Category],Table4[[#This Row],[Category]],ExpenseTable[Mth],9)</f>
        <v>140000</v>
      </c>
      <c r="N8" s="3">
        <f>+SUMIFS(ExpenseTable[Amount],ExpenseTable[Category],Table4[[#This Row],[Category]],ExpenseTable[Mth],10)</f>
        <v>10200</v>
      </c>
      <c r="O8" s="3">
        <f>+SUMIFS(ExpenseTable[Amount],ExpenseTable[Category],Table4[[#This Row],[Category]],ExpenseTable[Mth],11)</f>
        <v>0</v>
      </c>
      <c r="P8" s="3">
        <f>+SUMIFS(ExpenseTable[Amount],ExpenseTable[Category],Table4[[#This Row],[Category]],ExpenseTable[Mth],12)</f>
        <v>5000000</v>
      </c>
    </row>
    <row r="9" spans="1:16" ht="18.5" x14ac:dyDescent="0.45">
      <c r="A9" s="1" t="s">
        <v>54</v>
      </c>
      <c r="B9" s="17">
        <f>+RANK(Table4[[#This Row],[Total]],Table4[Total],0)</f>
        <v>1</v>
      </c>
      <c r="C9" s="17">
        <f>+COUNTIF(ExpenseTable[Category],Table4[[#This Row],[Category]])</f>
        <v>321</v>
      </c>
      <c r="D9" s="4">
        <f>+SUMIF(ExpenseTable[Category],Table4[[#This Row],[Category]],ExpenseTable[Amount])</f>
        <v>39911912.789999999</v>
      </c>
      <c r="E9" s="3">
        <f>+SUMIFS(ExpenseTable[Amount],ExpenseTable[Category],Table4[[#This Row],[Category]],ExpenseTable[Mth],1)</f>
        <v>417850</v>
      </c>
      <c r="F9" s="3">
        <f>+SUMIFS(ExpenseTable[Amount],ExpenseTable[Category],Table4[[#This Row],[Category]],ExpenseTable[Mth],2)</f>
        <v>1318600</v>
      </c>
      <c r="G9" s="3">
        <f>+SUMIFS(ExpenseTable[Amount],ExpenseTable[Category],Table4[[#This Row],[Category]],ExpenseTable[Mth],3)</f>
        <v>1822243.12</v>
      </c>
      <c r="H9" s="3">
        <f>+SUMIFS(ExpenseTable[Amount],ExpenseTable[Category],Table4[[#This Row],[Category]],ExpenseTable[Mth],4)</f>
        <v>2312200</v>
      </c>
      <c r="I9" s="3">
        <f>+SUMIFS(ExpenseTable[Amount],ExpenseTable[Category],Table4[[#This Row],[Category]],ExpenseTable[Mth],5)</f>
        <v>9490826.1799999997</v>
      </c>
      <c r="J9" s="3">
        <f>+SUMIFS(ExpenseTable[Amount],ExpenseTable[Category],Table4[[#This Row],[Category]],ExpenseTable[Mth],6)</f>
        <v>1344900</v>
      </c>
      <c r="K9" s="3">
        <f>+SUMIFS(ExpenseTable[Amount],ExpenseTable[Category],Table4[[#This Row],[Category]],ExpenseTable[Mth],7)</f>
        <v>3776402.33</v>
      </c>
      <c r="L9" s="3">
        <f>+SUMIFS(ExpenseTable[Amount],ExpenseTable[Category],Table4[[#This Row],[Category]],ExpenseTable[Mth],8)</f>
        <v>7954352.7400000002</v>
      </c>
      <c r="M9" s="3">
        <f>+SUMIFS(ExpenseTable[Amount],ExpenseTable[Category],Table4[[#This Row],[Category]],ExpenseTable[Mth],9)</f>
        <v>2386331.19</v>
      </c>
      <c r="N9" s="3">
        <f>+SUMIFS(ExpenseTable[Amount],ExpenseTable[Category],Table4[[#This Row],[Category]],ExpenseTable[Mth],10)</f>
        <v>513768.75</v>
      </c>
      <c r="O9" s="3">
        <f>+SUMIFS(ExpenseTable[Amount],ExpenseTable[Category],Table4[[#This Row],[Category]],ExpenseTable[Mth],11)</f>
        <v>1506976.94</v>
      </c>
      <c r="P9" s="3">
        <f>+SUMIFS(ExpenseTable[Amount],ExpenseTable[Category],Table4[[#This Row],[Category]],ExpenseTable[Mth],12)</f>
        <v>7067461.54</v>
      </c>
    </row>
    <row r="10" spans="1:16" ht="18.5" x14ac:dyDescent="0.45">
      <c r="A10" s="1" t="s">
        <v>87</v>
      </c>
      <c r="B10" s="17">
        <f>+RANK(Table4[[#This Row],[Total]],Table4[Total],0)</f>
        <v>39</v>
      </c>
      <c r="C10" s="17">
        <f>+COUNTIF(ExpenseTable[Category],Table4[[#This Row],[Category]])</f>
        <v>2</v>
      </c>
      <c r="D10" s="4">
        <f>+SUMIF(ExpenseTable[Category],Table4[[#This Row],[Category]],ExpenseTable[Amount])</f>
        <v>50425.97</v>
      </c>
      <c r="E10" s="3">
        <f>+SUMIFS(ExpenseTable[Amount],ExpenseTable[Category],Table4[[#This Row],[Category]],ExpenseTable[Mth],1)</f>
        <v>20000</v>
      </c>
      <c r="F10" s="3">
        <f>+SUMIFS(ExpenseTable[Amount],ExpenseTable[Category],Table4[[#This Row],[Category]],ExpenseTable[Mth],2)</f>
        <v>0</v>
      </c>
      <c r="G10" s="3">
        <f>+SUMIFS(ExpenseTable[Amount],ExpenseTable[Category],Table4[[#This Row],[Category]],ExpenseTable[Mth],3)</f>
        <v>0</v>
      </c>
      <c r="H10" s="3">
        <f>+SUMIFS(ExpenseTable[Amount],ExpenseTable[Category],Table4[[#This Row],[Category]],ExpenseTable[Mth],4)</f>
        <v>0</v>
      </c>
      <c r="I10" s="3">
        <f>+SUMIFS(ExpenseTable[Amount],ExpenseTable[Category],Table4[[#This Row],[Category]],ExpenseTable[Mth],5)</f>
        <v>30425.97</v>
      </c>
      <c r="J10" s="3">
        <f>+SUMIFS(ExpenseTable[Amount],ExpenseTable[Category],Table4[[#This Row],[Category]],ExpenseTable[Mth],6)</f>
        <v>0</v>
      </c>
      <c r="K10" s="3">
        <f>+SUMIFS(ExpenseTable[Amount],ExpenseTable[Category],Table4[[#This Row],[Category]],ExpenseTable[Mth],7)</f>
        <v>0</v>
      </c>
      <c r="L10" s="3">
        <f>+SUMIFS(ExpenseTable[Amount],ExpenseTable[Category],Table4[[#This Row],[Category]],ExpenseTable[Mth],8)</f>
        <v>0</v>
      </c>
      <c r="M10" s="3">
        <f>+SUMIFS(ExpenseTable[Amount],ExpenseTable[Category],Table4[[#This Row],[Category]],ExpenseTable[Mth],9)</f>
        <v>0</v>
      </c>
      <c r="N10" s="3">
        <f>+SUMIFS(ExpenseTable[Amount],ExpenseTable[Category],Table4[[#This Row],[Category]],ExpenseTable[Mth],10)</f>
        <v>0</v>
      </c>
      <c r="O10" s="3">
        <f>+SUMIFS(ExpenseTable[Amount],ExpenseTable[Category],Table4[[#This Row],[Category]],ExpenseTable[Mth],11)</f>
        <v>0</v>
      </c>
      <c r="P10" s="3">
        <f>+SUMIFS(ExpenseTable[Amount],ExpenseTable[Category],Table4[[#This Row],[Category]],ExpenseTable[Mth],12)</f>
        <v>0</v>
      </c>
    </row>
    <row r="11" spans="1:16" ht="18.5" x14ac:dyDescent="0.45">
      <c r="A11" s="1" t="s">
        <v>50</v>
      </c>
      <c r="B11" s="17">
        <f>+RANK(Table4[[#This Row],[Total]],Table4[Total],0)</f>
        <v>6</v>
      </c>
      <c r="C11" s="17">
        <f>+COUNTIF(ExpenseTable[Category],Table4[[#This Row],[Category]])</f>
        <v>14</v>
      </c>
      <c r="D11" s="4">
        <f>+SUMIF(ExpenseTable[Category],Table4[[#This Row],[Category]],ExpenseTable[Amount])</f>
        <v>9293550</v>
      </c>
      <c r="E11" s="3">
        <f>+SUMIFS(ExpenseTable[Amount],ExpenseTable[Category],Table4[[#This Row],[Category]],ExpenseTable[Mth],1)</f>
        <v>380000</v>
      </c>
      <c r="F11" s="3">
        <f>+SUMIFS(ExpenseTable[Amount],ExpenseTable[Category],Table4[[#This Row],[Category]],ExpenseTable[Mth],2)</f>
        <v>1300000</v>
      </c>
      <c r="G11" s="3">
        <f>+SUMIFS(ExpenseTable[Amount],ExpenseTable[Category],Table4[[#This Row],[Category]],ExpenseTable[Mth],3)</f>
        <v>185550</v>
      </c>
      <c r="H11" s="3">
        <f>+SUMIFS(ExpenseTable[Amount],ExpenseTable[Category],Table4[[#This Row],[Category]],ExpenseTable[Mth],4)</f>
        <v>0</v>
      </c>
      <c r="I11" s="3">
        <f>+SUMIFS(ExpenseTable[Amount],ExpenseTable[Category],Table4[[#This Row],[Category]],ExpenseTable[Mth],5)</f>
        <v>5700000</v>
      </c>
      <c r="J11" s="3">
        <f>+SUMIFS(ExpenseTable[Amount],ExpenseTable[Category],Table4[[#This Row],[Category]],ExpenseTable[Mth],6)</f>
        <v>30000</v>
      </c>
      <c r="K11" s="3">
        <f>+SUMIFS(ExpenseTable[Amount],ExpenseTable[Category],Table4[[#This Row],[Category]],ExpenseTable[Mth],7)</f>
        <v>850000</v>
      </c>
      <c r="L11" s="3">
        <f>+SUMIFS(ExpenseTable[Amount],ExpenseTable[Category],Table4[[#This Row],[Category]],ExpenseTable[Mth],8)</f>
        <v>0</v>
      </c>
      <c r="M11" s="3">
        <f>+SUMIFS(ExpenseTable[Amount],ExpenseTable[Category],Table4[[#This Row],[Category]],ExpenseTable[Mth],9)</f>
        <v>0</v>
      </c>
      <c r="N11" s="3">
        <f>+SUMIFS(ExpenseTable[Amount],ExpenseTable[Category],Table4[[#This Row],[Category]],ExpenseTable[Mth],10)</f>
        <v>490000</v>
      </c>
      <c r="O11" s="3">
        <f>+SUMIFS(ExpenseTable[Amount],ExpenseTable[Category],Table4[[#This Row],[Category]],ExpenseTable[Mth],11)</f>
        <v>0</v>
      </c>
      <c r="P11" s="3">
        <f>+SUMIFS(ExpenseTable[Amount],ExpenseTable[Category],Table4[[#This Row],[Category]],ExpenseTable[Mth],12)</f>
        <v>358000</v>
      </c>
    </row>
    <row r="12" spans="1:16" ht="18.5" x14ac:dyDescent="0.45">
      <c r="A12" s="1" t="s">
        <v>85</v>
      </c>
      <c r="B12" s="17">
        <f>+RANK(Table4[[#This Row],[Total]],Table4[Total],0)</f>
        <v>35</v>
      </c>
      <c r="C12" s="17">
        <f>+COUNTIF(ExpenseTable[Category],Table4[[#This Row],[Category]])</f>
        <v>3</v>
      </c>
      <c r="D12" s="4">
        <f>+SUMIF(ExpenseTable[Category],Table4[[#This Row],[Category]],ExpenseTable[Amount])</f>
        <v>136500</v>
      </c>
      <c r="E12" s="3">
        <f>+SUMIFS(ExpenseTable[Amount],ExpenseTable[Category],Table4[[#This Row],[Category]],ExpenseTable[Mth],1)</f>
        <v>0</v>
      </c>
      <c r="F12" s="3">
        <f>+SUMIFS(ExpenseTable[Amount],ExpenseTable[Category],Table4[[#This Row],[Category]],ExpenseTable[Mth],2)</f>
        <v>0</v>
      </c>
      <c r="G12" s="3">
        <f>+SUMIFS(ExpenseTable[Amount],ExpenseTable[Category],Table4[[#This Row],[Category]],ExpenseTable[Mth],3)</f>
        <v>62000</v>
      </c>
      <c r="H12" s="3">
        <f>+SUMIFS(ExpenseTable[Amount],ExpenseTable[Category],Table4[[#This Row],[Category]],ExpenseTable[Mth],4)</f>
        <v>0</v>
      </c>
      <c r="I12" s="3">
        <f>+SUMIFS(ExpenseTable[Amount],ExpenseTable[Category],Table4[[#This Row],[Category]],ExpenseTable[Mth],5)</f>
        <v>74500</v>
      </c>
      <c r="J12" s="3">
        <f>+SUMIFS(ExpenseTable[Amount],ExpenseTable[Category],Table4[[#This Row],[Category]],ExpenseTable[Mth],6)</f>
        <v>0</v>
      </c>
      <c r="K12" s="3">
        <f>+SUMIFS(ExpenseTable[Amount],ExpenseTable[Category],Table4[[#This Row],[Category]],ExpenseTable[Mth],7)</f>
        <v>0</v>
      </c>
      <c r="L12" s="3">
        <f>+SUMIFS(ExpenseTable[Amount],ExpenseTable[Category],Table4[[#This Row],[Category]],ExpenseTable[Mth],8)</f>
        <v>0</v>
      </c>
      <c r="M12" s="3">
        <f>+SUMIFS(ExpenseTable[Amount],ExpenseTable[Category],Table4[[#This Row],[Category]],ExpenseTable[Mth],9)</f>
        <v>0</v>
      </c>
      <c r="N12" s="3">
        <f>+SUMIFS(ExpenseTable[Amount],ExpenseTable[Category],Table4[[#This Row],[Category]],ExpenseTable[Mth],10)</f>
        <v>0</v>
      </c>
      <c r="O12" s="3">
        <f>+SUMIFS(ExpenseTable[Amount],ExpenseTable[Category],Table4[[#This Row],[Category]],ExpenseTable[Mth],11)</f>
        <v>0</v>
      </c>
      <c r="P12" s="3">
        <f>+SUMIFS(ExpenseTable[Amount],ExpenseTable[Category],Table4[[#This Row],[Category]],ExpenseTable[Mth],12)</f>
        <v>0</v>
      </c>
    </row>
    <row r="13" spans="1:16" ht="18.5" x14ac:dyDescent="0.45">
      <c r="A13" s="1" t="s">
        <v>24</v>
      </c>
      <c r="B13" s="17">
        <f>+RANK(Table4[[#This Row],[Total]],Table4[Total],0)</f>
        <v>42</v>
      </c>
      <c r="C13" s="17">
        <f>+COUNTIF(ExpenseTable[Category],Table4[[#This Row],[Category]])</f>
        <v>2</v>
      </c>
      <c r="D13" s="4">
        <f>+SUMIF(ExpenseTable[Category],Table4[[#This Row],[Category]],ExpenseTable[Amount])</f>
        <v>6700</v>
      </c>
      <c r="E13" s="3">
        <f>+SUMIFS(ExpenseTable[Amount],ExpenseTable[Category],Table4[[#This Row],[Category]],ExpenseTable[Mth],1)</f>
        <v>6700</v>
      </c>
      <c r="F13" s="3">
        <f>+SUMIFS(ExpenseTable[Amount],ExpenseTable[Category],Table4[[#This Row],[Category]],ExpenseTable[Mth],2)</f>
        <v>0</v>
      </c>
      <c r="G13" s="3">
        <f>+SUMIFS(ExpenseTable[Amount],ExpenseTable[Category],Table4[[#This Row],[Category]],ExpenseTable[Mth],3)</f>
        <v>0</v>
      </c>
      <c r="H13" s="3">
        <f>+SUMIFS(ExpenseTable[Amount],ExpenseTable[Category],Table4[[#This Row],[Category]],ExpenseTable[Mth],4)</f>
        <v>0</v>
      </c>
      <c r="I13" s="3">
        <f>+SUMIFS(ExpenseTable[Amount],ExpenseTable[Category],Table4[[#This Row],[Category]],ExpenseTable[Mth],5)</f>
        <v>0</v>
      </c>
      <c r="J13" s="3">
        <f>+SUMIFS(ExpenseTable[Amount],ExpenseTable[Category],Table4[[#This Row],[Category]],ExpenseTable[Mth],6)</f>
        <v>0</v>
      </c>
      <c r="K13" s="3">
        <f>+SUMIFS(ExpenseTable[Amount],ExpenseTable[Category],Table4[[#This Row],[Category]],ExpenseTable[Mth],7)</f>
        <v>0</v>
      </c>
      <c r="L13" s="3">
        <f>+SUMIFS(ExpenseTable[Amount],ExpenseTable[Category],Table4[[#This Row],[Category]],ExpenseTable[Mth],8)</f>
        <v>0</v>
      </c>
      <c r="M13" s="3">
        <f>+SUMIFS(ExpenseTable[Amount],ExpenseTable[Category],Table4[[#This Row],[Category]],ExpenseTable[Mth],9)</f>
        <v>0</v>
      </c>
      <c r="N13" s="3">
        <f>+SUMIFS(ExpenseTable[Amount],ExpenseTable[Category],Table4[[#This Row],[Category]],ExpenseTable[Mth],10)</f>
        <v>0</v>
      </c>
      <c r="O13" s="3">
        <f>+SUMIFS(ExpenseTable[Amount],ExpenseTable[Category],Table4[[#This Row],[Category]],ExpenseTable[Mth],11)</f>
        <v>0</v>
      </c>
      <c r="P13" s="3">
        <f>+SUMIFS(ExpenseTable[Amount],ExpenseTable[Category],Table4[[#This Row],[Category]],ExpenseTable[Mth],12)</f>
        <v>0</v>
      </c>
    </row>
    <row r="14" spans="1:16" ht="18.5" x14ac:dyDescent="0.45">
      <c r="A14" s="1" t="s">
        <v>45</v>
      </c>
      <c r="B14" s="17">
        <f>+RANK(Table4[[#This Row],[Total]],Table4[Total],0)</f>
        <v>44</v>
      </c>
      <c r="C14" s="17">
        <f>+COUNTIF(ExpenseTable[Category],Table4[[#This Row],[Category]])</f>
        <v>0</v>
      </c>
      <c r="D14" s="4">
        <f>+SUMIF(ExpenseTable[Category],Table4[[#This Row],[Category]],ExpenseTable[Amount])</f>
        <v>0</v>
      </c>
      <c r="E14" s="3">
        <f>+SUMIFS(ExpenseTable[Amount],ExpenseTable[Category],Table4[[#This Row],[Category]],ExpenseTable[Mth],1)</f>
        <v>0</v>
      </c>
      <c r="F14" s="3">
        <f>+SUMIFS(ExpenseTable[Amount],ExpenseTable[Category],Table4[[#This Row],[Category]],ExpenseTable[Mth],2)</f>
        <v>0</v>
      </c>
      <c r="G14" s="3">
        <f>+SUMIFS(ExpenseTable[Amount],ExpenseTable[Category],Table4[[#This Row],[Category]],ExpenseTable[Mth],3)</f>
        <v>0</v>
      </c>
      <c r="H14" s="3">
        <f>+SUMIFS(ExpenseTable[Amount],ExpenseTable[Category],Table4[[#This Row],[Category]],ExpenseTable[Mth],4)</f>
        <v>0</v>
      </c>
      <c r="I14" s="3">
        <f>+SUMIFS(ExpenseTable[Amount],ExpenseTable[Category],Table4[[#This Row],[Category]],ExpenseTable[Mth],5)</f>
        <v>0</v>
      </c>
      <c r="J14" s="3">
        <f>+SUMIFS(ExpenseTable[Amount],ExpenseTable[Category],Table4[[#This Row],[Category]],ExpenseTable[Mth],6)</f>
        <v>0</v>
      </c>
      <c r="K14" s="3">
        <f>+SUMIFS(ExpenseTable[Amount],ExpenseTable[Category],Table4[[#This Row],[Category]],ExpenseTable[Mth],7)</f>
        <v>0</v>
      </c>
      <c r="L14" s="3">
        <f>+SUMIFS(ExpenseTable[Amount],ExpenseTable[Category],Table4[[#This Row],[Category]],ExpenseTable[Mth],8)</f>
        <v>0</v>
      </c>
      <c r="M14" s="3">
        <f>+SUMIFS(ExpenseTable[Amount],ExpenseTable[Category],Table4[[#This Row],[Category]],ExpenseTable[Mth],9)</f>
        <v>0</v>
      </c>
      <c r="N14" s="3">
        <f>+SUMIFS(ExpenseTable[Amount],ExpenseTable[Category],Table4[[#This Row],[Category]],ExpenseTable[Mth],10)</f>
        <v>0</v>
      </c>
      <c r="O14" s="3">
        <f>+SUMIFS(ExpenseTable[Amount],ExpenseTable[Category],Table4[[#This Row],[Category]],ExpenseTable[Mth],11)</f>
        <v>0</v>
      </c>
      <c r="P14" s="3">
        <f>+SUMIFS(ExpenseTable[Amount],ExpenseTable[Category],Table4[[#This Row],[Category]],ExpenseTable[Mth],12)</f>
        <v>0</v>
      </c>
    </row>
    <row r="15" spans="1:16" ht="18.5" x14ac:dyDescent="0.45">
      <c r="A15" s="1" t="s">
        <v>33</v>
      </c>
      <c r="B15" s="17">
        <f>+RANK(Table4[[#This Row],[Total]],Table4[Total],0)</f>
        <v>26</v>
      </c>
      <c r="C15" s="17">
        <f>+COUNTIF(ExpenseTable[Category],Table4[[#This Row],[Category]])</f>
        <v>15</v>
      </c>
      <c r="D15" s="4">
        <f>+SUMIF(ExpenseTable[Category],Table4[[#This Row],[Category]],ExpenseTable[Amount])</f>
        <v>727845.03</v>
      </c>
      <c r="E15" s="3">
        <f>+SUMIFS(ExpenseTable[Amount],ExpenseTable[Category],Table4[[#This Row],[Category]],ExpenseTable[Mth],1)</f>
        <v>35921</v>
      </c>
      <c r="F15" s="3">
        <f>+SUMIFS(ExpenseTable[Amount],ExpenseTable[Category],Table4[[#This Row],[Category]],ExpenseTable[Mth],2)</f>
        <v>35921</v>
      </c>
      <c r="G15" s="3">
        <f>+SUMIFS(ExpenseTable[Amount],ExpenseTable[Category],Table4[[#This Row],[Category]],ExpenseTable[Mth],3)</f>
        <v>0</v>
      </c>
      <c r="H15" s="3">
        <f>+SUMIFS(ExpenseTable[Amount],ExpenseTable[Category],Table4[[#This Row],[Category]],ExpenseTable[Mth],4)</f>
        <v>67000</v>
      </c>
      <c r="I15" s="3">
        <f>+SUMIFS(ExpenseTable[Amount],ExpenseTable[Category],Table4[[#This Row],[Category]],ExpenseTable[Mth],5)</f>
        <v>158000</v>
      </c>
      <c r="J15" s="3">
        <f>+SUMIFS(ExpenseTable[Amount],ExpenseTable[Category],Table4[[#This Row],[Category]],ExpenseTable[Mth],6)</f>
        <v>49000</v>
      </c>
      <c r="K15" s="3">
        <f>+SUMIFS(ExpenseTable[Amount],ExpenseTable[Category],Table4[[#This Row],[Category]],ExpenseTable[Mth],7)</f>
        <v>238000.03</v>
      </c>
      <c r="L15" s="3">
        <f>+SUMIFS(ExpenseTable[Amount],ExpenseTable[Category],Table4[[#This Row],[Category]],ExpenseTable[Mth],8)</f>
        <v>0</v>
      </c>
      <c r="M15" s="3">
        <f>+SUMIFS(ExpenseTable[Amount],ExpenseTable[Category],Table4[[#This Row],[Category]],ExpenseTable[Mth],9)</f>
        <v>0</v>
      </c>
      <c r="N15" s="3">
        <f>+SUMIFS(ExpenseTable[Amount],ExpenseTable[Category],Table4[[#This Row],[Category]],ExpenseTable[Mth],10)</f>
        <v>0</v>
      </c>
      <c r="O15" s="3">
        <f>+SUMIFS(ExpenseTable[Amount],ExpenseTable[Category],Table4[[#This Row],[Category]],ExpenseTable[Mth],11)</f>
        <v>0</v>
      </c>
      <c r="P15" s="3">
        <f>+SUMIFS(ExpenseTable[Amount],ExpenseTable[Category],Table4[[#This Row],[Category]],ExpenseTable[Mth],12)</f>
        <v>144003</v>
      </c>
    </row>
    <row r="16" spans="1:16" ht="18.5" x14ac:dyDescent="0.45">
      <c r="A16" s="1" t="s">
        <v>86</v>
      </c>
      <c r="B16" s="17">
        <f>+RANK(Table4[[#This Row],[Total]],Table4[Total],0)</f>
        <v>5</v>
      </c>
      <c r="C16" s="17">
        <f>+COUNTIF(ExpenseTable[Category],Table4[[#This Row],[Category]])</f>
        <v>12</v>
      </c>
      <c r="D16" s="4">
        <f>+SUMIF(ExpenseTable[Category],Table4[[#This Row],[Category]],ExpenseTable[Amount])</f>
        <v>9634000</v>
      </c>
      <c r="E16" s="3">
        <f>+SUMIFS(ExpenseTable[Amount],ExpenseTable[Category],Table4[[#This Row],[Category]],ExpenseTable[Mth],1)</f>
        <v>0</v>
      </c>
      <c r="F16" s="3">
        <f>+SUMIFS(ExpenseTable[Amount],ExpenseTable[Category],Table4[[#This Row],[Category]],ExpenseTable[Mth],2)</f>
        <v>0</v>
      </c>
      <c r="G16" s="3">
        <f>+SUMIFS(ExpenseTable[Amount],ExpenseTable[Category],Table4[[#This Row],[Category]],ExpenseTable[Mth],3)</f>
        <v>6550000</v>
      </c>
      <c r="H16" s="3">
        <f>+SUMIFS(ExpenseTable[Amount],ExpenseTable[Category],Table4[[#This Row],[Category]],ExpenseTable[Mth],4)</f>
        <v>1079000</v>
      </c>
      <c r="I16" s="3">
        <f>+SUMIFS(ExpenseTable[Amount],ExpenseTable[Category],Table4[[#This Row],[Category]],ExpenseTable[Mth],5)</f>
        <v>1000000</v>
      </c>
      <c r="J16" s="3">
        <f>+SUMIFS(ExpenseTable[Amount],ExpenseTable[Category],Table4[[#This Row],[Category]],ExpenseTable[Mth],6)</f>
        <v>0</v>
      </c>
      <c r="K16" s="3">
        <f>+SUMIFS(ExpenseTable[Amount],ExpenseTable[Category],Table4[[#This Row],[Category]],ExpenseTable[Mth],7)</f>
        <v>0</v>
      </c>
      <c r="L16" s="3">
        <f>+SUMIFS(ExpenseTable[Amount],ExpenseTable[Category],Table4[[#This Row],[Category]],ExpenseTable[Mth],8)</f>
        <v>0</v>
      </c>
      <c r="M16" s="3">
        <f>+SUMIFS(ExpenseTable[Amount],ExpenseTable[Category],Table4[[#This Row],[Category]],ExpenseTable[Mth],9)</f>
        <v>0</v>
      </c>
      <c r="N16" s="3">
        <f>+SUMIFS(ExpenseTable[Amount],ExpenseTable[Category],Table4[[#This Row],[Category]],ExpenseTable[Mth],10)</f>
        <v>0</v>
      </c>
      <c r="O16" s="3">
        <f>+SUMIFS(ExpenseTable[Amount],ExpenseTable[Category],Table4[[#This Row],[Category]],ExpenseTable[Mth],11)</f>
        <v>45000</v>
      </c>
      <c r="P16" s="3">
        <f>+SUMIFS(ExpenseTable[Amount],ExpenseTable[Category],Table4[[#This Row],[Category]],ExpenseTable[Mth],12)</f>
        <v>960000</v>
      </c>
    </row>
    <row r="17" spans="1:16" ht="18.5" x14ac:dyDescent="0.45">
      <c r="A17" s="1" t="s">
        <v>21</v>
      </c>
      <c r="B17" s="17">
        <f>+RANK(Table4[[#This Row],[Total]],Table4[Total],0)</f>
        <v>30</v>
      </c>
      <c r="C17" s="17">
        <f>+COUNTIF(ExpenseTable[Category],Table4[[#This Row],[Category]])</f>
        <v>72</v>
      </c>
      <c r="D17" s="4">
        <f>+SUMIF(ExpenseTable[Category],Table4[[#This Row],[Category]],ExpenseTable[Amount])</f>
        <v>269400</v>
      </c>
      <c r="E17" s="3">
        <f>+SUMIFS(ExpenseTable[Amount],ExpenseTable[Category],Table4[[#This Row],[Category]],ExpenseTable[Mth],1)</f>
        <v>12300</v>
      </c>
      <c r="F17" s="3">
        <f>+SUMIFS(ExpenseTable[Amount],ExpenseTable[Category],Table4[[#This Row],[Category]],ExpenseTable[Mth],2)</f>
        <v>5100</v>
      </c>
      <c r="G17" s="3">
        <f>+SUMIFS(ExpenseTable[Amount],ExpenseTable[Category],Table4[[#This Row],[Category]],ExpenseTable[Mth],3)</f>
        <v>23300</v>
      </c>
      <c r="H17" s="3">
        <f>+SUMIFS(ExpenseTable[Amount],ExpenseTable[Category],Table4[[#This Row],[Category]],ExpenseTable[Mth],4)</f>
        <v>8600</v>
      </c>
      <c r="I17" s="3">
        <f>+SUMIFS(ExpenseTable[Amount],ExpenseTable[Category],Table4[[#This Row],[Category]],ExpenseTable[Mth],5)</f>
        <v>68100</v>
      </c>
      <c r="J17" s="3">
        <f>+SUMIFS(ExpenseTable[Amount],ExpenseTable[Category],Table4[[#This Row],[Category]],ExpenseTable[Mth],6)</f>
        <v>16200</v>
      </c>
      <c r="K17" s="3">
        <f>+SUMIFS(ExpenseTable[Amount],ExpenseTable[Category],Table4[[#This Row],[Category]],ExpenseTable[Mth],7)</f>
        <v>22400</v>
      </c>
      <c r="L17" s="3">
        <f>+SUMIFS(ExpenseTable[Amount],ExpenseTable[Category],Table4[[#This Row],[Category]],ExpenseTable[Mth],8)</f>
        <v>51300</v>
      </c>
      <c r="M17" s="3">
        <f>+SUMIFS(ExpenseTable[Amount],ExpenseTable[Category],Table4[[#This Row],[Category]],ExpenseTable[Mth],9)</f>
        <v>0</v>
      </c>
      <c r="N17" s="3">
        <f>+SUMIFS(ExpenseTable[Amount],ExpenseTable[Category],Table4[[#This Row],[Category]],ExpenseTable[Mth],10)</f>
        <v>33100</v>
      </c>
      <c r="O17" s="3">
        <f>+SUMIFS(ExpenseTable[Amount],ExpenseTable[Category],Table4[[#This Row],[Category]],ExpenseTable[Mth],11)</f>
        <v>28600</v>
      </c>
      <c r="P17" s="3">
        <f>+SUMIFS(ExpenseTable[Amount],ExpenseTable[Category],Table4[[#This Row],[Category]],ExpenseTable[Mth],12)</f>
        <v>400</v>
      </c>
    </row>
    <row r="18" spans="1:16" ht="18.5" x14ac:dyDescent="0.45">
      <c r="A18" s="1" t="s">
        <v>5</v>
      </c>
      <c r="B18" s="17">
        <f>+RANK(Table4[[#This Row],[Total]],Table4[Total],0)</f>
        <v>2</v>
      </c>
      <c r="C18" s="17">
        <f>+COUNTIF(ExpenseTable[Category],Table4[[#This Row],[Category]])</f>
        <v>128</v>
      </c>
      <c r="D18" s="4">
        <f>+SUMIF(ExpenseTable[Category],Table4[[#This Row],[Category]],ExpenseTable[Amount])</f>
        <v>24405270</v>
      </c>
      <c r="E18" s="3">
        <f>+SUMIFS(ExpenseTable[Amount],ExpenseTable[Category],Table4[[#This Row],[Category]],ExpenseTable[Mth],1)</f>
        <v>310600</v>
      </c>
      <c r="F18" s="3">
        <f>+SUMIFS(ExpenseTable[Amount],ExpenseTable[Category],Table4[[#This Row],[Category]],ExpenseTable[Mth],2)</f>
        <v>215000</v>
      </c>
      <c r="G18" s="3">
        <f>+SUMIFS(ExpenseTable[Amount],ExpenseTable[Category],Table4[[#This Row],[Category]],ExpenseTable[Mth],3)</f>
        <v>2092000</v>
      </c>
      <c r="H18" s="3">
        <f>+SUMIFS(ExpenseTable[Amount],ExpenseTable[Category],Table4[[#This Row],[Category]],ExpenseTable[Mth],4)</f>
        <v>3728000</v>
      </c>
      <c r="I18" s="3">
        <f>+SUMIFS(ExpenseTable[Amount],ExpenseTable[Category],Table4[[#This Row],[Category]],ExpenseTable[Mth],5)</f>
        <v>2706500</v>
      </c>
      <c r="J18" s="3">
        <f>+SUMIFS(ExpenseTable[Amount],ExpenseTable[Category],Table4[[#This Row],[Category]],ExpenseTable[Mth],6)</f>
        <v>213000</v>
      </c>
      <c r="K18" s="3">
        <f>+SUMIFS(ExpenseTable[Amount],ExpenseTable[Category],Table4[[#This Row],[Category]],ExpenseTable[Mth],7)</f>
        <v>1770400</v>
      </c>
      <c r="L18" s="3">
        <f>+SUMIFS(ExpenseTable[Amount],ExpenseTable[Category],Table4[[#This Row],[Category]],ExpenseTable[Mth],8)</f>
        <v>591000</v>
      </c>
      <c r="M18" s="3">
        <f>+SUMIFS(ExpenseTable[Amount],ExpenseTable[Category],Table4[[#This Row],[Category]],ExpenseTable[Mth],9)</f>
        <v>0</v>
      </c>
      <c r="N18" s="3">
        <f>+SUMIFS(ExpenseTable[Amount],ExpenseTable[Category],Table4[[#This Row],[Category]],ExpenseTable[Mth],10)</f>
        <v>12002750</v>
      </c>
      <c r="O18" s="3">
        <f>+SUMIFS(ExpenseTable[Amount],ExpenseTable[Category],Table4[[#This Row],[Category]],ExpenseTable[Mth],11)</f>
        <v>753620</v>
      </c>
      <c r="P18" s="3">
        <f>+SUMIFS(ExpenseTable[Amount],ExpenseTable[Category],Table4[[#This Row],[Category]],ExpenseTable[Mth],12)</f>
        <v>22400</v>
      </c>
    </row>
    <row r="19" spans="1:16" ht="18.5" x14ac:dyDescent="0.45">
      <c r="A19" s="1" t="s">
        <v>37</v>
      </c>
      <c r="B19" s="17">
        <f>+RANK(Table4[[#This Row],[Total]],Table4[Total],0)</f>
        <v>29</v>
      </c>
      <c r="C19" s="17">
        <f>+COUNTIF(ExpenseTable[Category],Table4[[#This Row],[Category]])</f>
        <v>28</v>
      </c>
      <c r="D19" s="4">
        <f>+SUMIF(ExpenseTable[Category],Table4[[#This Row],[Category]],ExpenseTable[Amount])</f>
        <v>410460</v>
      </c>
      <c r="E19" s="3">
        <f>+SUMIFS(ExpenseTable[Amount],ExpenseTable[Category],Table4[[#This Row],[Category]],ExpenseTable[Mth],1)</f>
        <v>800</v>
      </c>
      <c r="F19" s="3">
        <f>+SUMIFS(ExpenseTable[Amount],ExpenseTable[Category],Table4[[#This Row],[Category]],ExpenseTable[Mth],2)</f>
        <v>5300</v>
      </c>
      <c r="G19" s="3">
        <f>+SUMIFS(ExpenseTable[Amount],ExpenseTable[Category],Table4[[#This Row],[Category]],ExpenseTable[Mth],3)</f>
        <v>0</v>
      </c>
      <c r="H19" s="3">
        <f>+SUMIFS(ExpenseTable[Amount],ExpenseTable[Category],Table4[[#This Row],[Category]],ExpenseTable[Mth],4)</f>
        <v>63950</v>
      </c>
      <c r="I19" s="3">
        <f>+SUMIFS(ExpenseTable[Amount],ExpenseTable[Category],Table4[[#This Row],[Category]],ExpenseTable[Mth],5)</f>
        <v>128560</v>
      </c>
      <c r="J19" s="3">
        <f>+SUMIFS(ExpenseTable[Amount],ExpenseTable[Category],Table4[[#This Row],[Category]],ExpenseTable[Mth],6)</f>
        <v>88790</v>
      </c>
      <c r="K19" s="3">
        <f>+SUMIFS(ExpenseTable[Amount],ExpenseTable[Category],Table4[[#This Row],[Category]],ExpenseTable[Mth],7)</f>
        <v>98250</v>
      </c>
      <c r="L19" s="3">
        <f>+SUMIFS(ExpenseTable[Amount],ExpenseTable[Category],Table4[[#This Row],[Category]],ExpenseTable[Mth],8)</f>
        <v>16250</v>
      </c>
      <c r="M19" s="3">
        <f>+SUMIFS(ExpenseTable[Amount],ExpenseTable[Category],Table4[[#This Row],[Category]],ExpenseTable[Mth],9)</f>
        <v>0</v>
      </c>
      <c r="N19" s="3">
        <f>+SUMIFS(ExpenseTable[Amount],ExpenseTable[Category],Table4[[#This Row],[Category]],ExpenseTable[Mth],10)</f>
        <v>8560</v>
      </c>
      <c r="O19" s="3">
        <f>+SUMIFS(ExpenseTable[Amount],ExpenseTable[Category],Table4[[#This Row],[Category]],ExpenseTable[Mth],11)</f>
        <v>0</v>
      </c>
      <c r="P19" s="3">
        <f>+SUMIFS(ExpenseTable[Amount],ExpenseTable[Category],Table4[[#This Row],[Category]],ExpenseTable[Mth],12)</f>
        <v>0</v>
      </c>
    </row>
    <row r="20" spans="1:16" ht="18.5" x14ac:dyDescent="0.45">
      <c r="A20" s="1" t="s">
        <v>34</v>
      </c>
      <c r="B20" s="17">
        <f>+RANK(Table4[[#This Row],[Total]],Table4[Total],0)</f>
        <v>21</v>
      </c>
      <c r="C20" s="17">
        <f>+COUNTIF(ExpenseTable[Category],Table4[[#This Row],[Category]])</f>
        <v>7</v>
      </c>
      <c r="D20" s="4">
        <f>+SUMIF(ExpenseTable[Category],Table4[[#This Row],[Category]],ExpenseTable[Amount])</f>
        <v>947450</v>
      </c>
      <c r="E20" s="3">
        <f>+SUMIFS(ExpenseTable[Amount],ExpenseTable[Category],Table4[[#This Row],[Category]],ExpenseTable[Mth],1)</f>
        <v>4200</v>
      </c>
      <c r="F20" s="3">
        <f>+SUMIFS(ExpenseTable[Amount],ExpenseTable[Category],Table4[[#This Row],[Category]],ExpenseTable[Mth],2)</f>
        <v>3000</v>
      </c>
      <c r="G20" s="3">
        <f>+SUMIFS(ExpenseTable[Amount],ExpenseTable[Category],Table4[[#This Row],[Category]],ExpenseTable[Mth],3)</f>
        <v>165250</v>
      </c>
      <c r="H20" s="3">
        <f>+SUMIFS(ExpenseTable[Amount],ExpenseTable[Category],Table4[[#This Row],[Category]],ExpenseTable[Mth],4)</f>
        <v>12000</v>
      </c>
      <c r="I20" s="3">
        <f>+SUMIFS(ExpenseTable[Amount],ExpenseTable[Category],Table4[[#This Row],[Category]],ExpenseTable[Mth],5)</f>
        <v>0</v>
      </c>
      <c r="J20" s="3">
        <f>+SUMIFS(ExpenseTable[Amount],ExpenseTable[Category],Table4[[#This Row],[Category]],ExpenseTable[Mth],6)</f>
        <v>0</v>
      </c>
      <c r="K20" s="3">
        <f>+SUMIFS(ExpenseTable[Amount],ExpenseTable[Category],Table4[[#This Row],[Category]],ExpenseTable[Mth],7)</f>
        <v>0</v>
      </c>
      <c r="L20" s="3">
        <f>+SUMIFS(ExpenseTable[Amount],ExpenseTable[Category],Table4[[#This Row],[Category]],ExpenseTable[Mth],8)</f>
        <v>650000</v>
      </c>
      <c r="M20" s="3">
        <f>+SUMIFS(ExpenseTable[Amount],ExpenseTable[Category],Table4[[#This Row],[Category]],ExpenseTable[Mth],9)</f>
        <v>0</v>
      </c>
      <c r="N20" s="3">
        <f>+SUMIFS(ExpenseTable[Amount],ExpenseTable[Category],Table4[[#This Row],[Category]],ExpenseTable[Mth],10)</f>
        <v>0</v>
      </c>
      <c r="O20" s="3">
        <f>+SUMIFS(ExpenseTable[Amount],ExpenseTable[Category],Table4[[#This Row],[Category]],ExpenseTable[Mth],11)</f>
        <v>0</v>
      </c>
      <c r="P20" s="3">
        <f>+SUMIFS(ExpenseTable[Amount],ExpenseTable[Category],Table4[[#This Row],[Category]],ExpenseTable[Mth],12)</f>
        <v>113000</v>
      </c>
    </row>
    <row r="21" spans="1:16" ht="18.5" x14ac:dyDescent="0.45">
      <c r="A21" s="1" t="s">
        <v>22</v>
      </c>
      <c r="B21" s="17">
        <f>+RANK(Table4[[#This Row],[Total]],Table4[Total],0)</f>
        <v>4</v>
      </c>
      <c r="C21" s="17">
        <f>+COUNTIF(ExpenseTable[Category],Table4[[#This Row],[Category]])</f>
        <v>113</v>
      </c>
      <c r="D21" s="4">
        <f>+SUMIF(ExpenseTable[Category],Table4[[#This Row],[Category]],ExpenseTable[Amount])</f>
        <v>10425800</v>
      </c>
      <c r="E21" s="3">
        <f>+SUMIFS(ExpenseTable[Amount],ExpenseTable[Category],Table4[[#This Row],[Category]],ExpenseTable[Mth],1)</f>
        <v>213400</v>
      </c>
      <c r="F21" s="3">
        <f>+SUMIFS(ExpenseTable[Amount],ExpenseTable[Category],Table4[[#This Row],[Category]],ExpenseTable[Mth],2)</f>
        <v>111400</v>
      </c>
      <c r="G21" s="3">
        <f>+SUMIFS(ExpenseTable[Amount],ExpenseTable[Category],Table4[[#This Row],[Category]],ExpenseTable[Mth],3)</f>
        <v>902500</v>
      </c>
      <c r="H21" s="3">
        <f>+SUMIFS(ExpenseTable[Amount],ExpenseTable[Category],Table4[[#This Row],[Category]],ExpenseTable[Mth],4)</f>
        <v>1489000</v>
      </c>
      <c r="I21" s="3">
        <f>+SUMIFS(ExpenseTable[Amount],ExpenseTable[Category],Table4[[#This Row],[Category]],ExpenseTable[Mth],5)</f>
        <v>2051000</v>
      </c>
      <c r="J21" s="3">
        <f>+SUMIFS(ExpenseTable[Amount],ExpenseTable[Category],Table4[[#This Row],[Category]],ExpenseTable[Mth],6)</f>
        <v>103000</v>
      </c>
      <c r="K21" s="3">
        <f>+SUMIFS(ExpenseTable[Amount],ExpenseTable[Category],Table4[[#This Row],[Category]],ExpenseTable[Mth],7)</f>
        <v>525900</v>
      </c>
      <c r="L21" s="3">
        <f>+SUMIFS(ExpenseTable[Amount],ExpenseTable[Category],Table4[[#This Row],[Category]],ExpenseTable[Mth],8)</f>
        <v>359500</v>
      </c>
      <c r="M21" s="3">
        <f>+SUMIFS(ExpenseTable[Amount],ExpenseTable[Category],Table4[[#This Row],[Category]],ExpenseTable[Mth],9)</f>
        <v>74000</v>
      </c>
      <c r="N21" s="3">
        <f>+SUMIFS(ExpenseTable[Amount],ExpenseTable[Category],Table4[[#This Row],[Category]],ExpenseTable[Mth],10)</f>
        <v>479400</v>
      </c>
      <c r="O21" s="3">
        <f>+SUMIFS(ExpenseTable[Amount],ExpenseTable[Category],Table4[[#This Row],[Category]],ExpenseTable[Mth],11)</f>
        <v>289500</v>
      </c>
      <c r="P21" s="3">
        <f>+SUMIFS(ExpenseTable[Amount],ExpenseTable[Category],Table4[[#This Row],[Category]],ExpenseTable[Mth],12)</f>
        <v>3827200</v>
      </c>
    </row>
    <row r="22" spans="1:16" ht="18.5" x14ac:dyDescent="0.45">
      <c r="A22" s="1" t="s">
        <v>84</v>
      </c>
      <c r="B22" s="17">
        <f>+RANK(Table4[[#This Row],[Total]],Table4[Total],0)</f>
        <v>31</v>
      </c>
      <c r="C22" s="17">
        <f>+COUNTIF(ExpenseTable[Category],Table4[[#This Row],[Category]])</f>
        <v>3</v>
      </c>
      <c r="D22" s="4">
        <f>+SUMIF(ExpenseTable[Category],Table4[[#This Row],[Category]],ExpenseTable[Amount])</f>
        <v>239162</v>
      </c>
      <c r="E22" s="3">
        <f>+SUMIFS(ExpenseTable[Amount],ExpenseTable[Category],Table4[[#This Row],[Category]],ExpenseTable[Mth],1)</f>
        <v>0</v>
      </c>
      <c r="F22" s="3">
        <f>+SUMIFS(ExpenseTable[Amount],ExpenseTable[Category],Table4[[#This Row],[Category]],ExpenseTable[Mth],2)</f>
        <v>132261.25</v>
      </c>
      <c r="G22" s="3">
        <f>+SUMIFS(ExpenseTable[Amount],ExpenseTable[Category],Table4[[#This Row],[Category]],ExpenseTable[Mth],3)</f>
        <v>0</v>
      </c>
      <c r="H22" s="3">
        <f>+SUMIFS(ExpenseTable[Amount],ExpenseTable[Category],Table4[[#This Row],[Category]],ExpenseTable[Mth],4)</f>
        <v>49317.5</v>
      </c>
      <c r="I22" s="3">
        <f>+SUMIFS(ExpenseTable[Amount],ExpenseTable[Category],Table4[[#This Row],[Category]],ExpenseTable[Mth],5)</f>
        <v>0</v>
      </c>
      <c r="J22" s="3">
        <f>+SUMIFS(ExpenseTable[Amount],ExpenseTable[Category],Table4[[#This Row],[Category]],ExpenseTable[Mth],6)</f>
        <v>0</v>
      </c>
      <c r="K22" s="3">
        <f>+SUMIFS(ExpenseTable[Amount],ExpenseTable[Category],Table4[[#This Row],[Category]],ExpenseTable[Mth],7)</f>
        <v>57583.25</v>
      </c>
      <c r="L22" s="3">
        <f>+SUMIFS(ExpenseTable[Amount],ExpenseTable[Category],Table4[[#This Row],[Category]],ExpenseTable[Mth],8)</f>
        <v>0</v>
      </c>
      <c r="M22" s="3">
        <f>+SUMIFS(ExpenseTable[Amount],ExpenseTable[Category],Table4[[#This Row],[Category]],ExpenseTable[Mth],9)</f>
        <v>0</v>
      </c>
      <c r="N22" s="3">
        <f>+SUMIFS(ExpenseTable[Amount],ExpenseTable[Category],Table4[[#This Row],[Category]],ExpenseTable[Mth],10)</f>
        <v>0</v>
      </c>
      <c r="O22" s="3">
        <f>+SUMIFS(ExpenseTable[Amount],ExpenseTable[Category],Table4[[#This Row],[Category]],ExpenseTable[Mth],11)</f>
        <v>0</v>
      </c>
      <c r="P22" s="3">
        <f>+SUMIFS(ExpenseTable[Amount],ExpenseTable[Category],Table4[[#This Row],[Category]],ExpenseTable[Mth],12)</f>
        <v>0</v>
      </c>
    </row>
    <row r="23" spans="1:16" ht="18.5" x14ac:dyDescent="0.45">
      <c r="A23" s="1" t="s">
        <v>27</v>
      </c>
      <c r="B23" s="17">
        <f>+RANK(Table4[[#This Row],[Total]],Table4[Total],0)</f>
        <v>17</v>
      </c>
      <c r="C23" s="17">
        <f>+COUNTIF(ExpenseTable[Category],Table4[[#This Row],[Category]])</f>
        <v>63</v>
      </c>
      <c r="D23" s="4">
        <f>+SUMIF(ExpenseTable[Category],Table4[[#This Row],[Category]],ExpenseTable[Amount])</f>
        <v>2389490</v>
      </c>
      <c r="E23" s="3">
        <f>+SUMIFS(ExpenseTable[Amount],ExpenseTable[Category],Table4[[#This Row],[Category]],ExpenseTable[Mth],1)</f>
        <v>36100</v>
      </c>
      <c r="F23" s="3">
        <f>+SUMIFS(ExpenseTable[Amount],ExpenseTable[Category],Table4[[#This Row],[Category]],ExpenseTable[Mth],2)</f>
        <v>0</v>
      </c>
      <c r="G23" s="3">
        <f>+SUMIFS(ExpenseTable[Amount],ExpenseTable[Category],Table4[[#This Row],[Category]],ExpenseTable[Mth],3)</f>
        <v>475090</v>
      </c>
      <c r="H23" s="3">
        <f>+SUMIFS(ExpenseTable[Amount],ExpenseTable[Category],Table4[[#This Row],[Category]],ExpenseTable[Mth],4)</f>
        <v>1524150</v>
      </c>
      <c r="I23" s="3">
        <f>+SUMIFS(ExpenseTable[Amount],ExpenseTable[Category],Table4[[#This Row],[Category]],ExpenseTable[Mth],5)</f>
        <v>49850</v>
      </c>
      <c r="J23" s="3">
        <f>+SUMIFS(ExpenseTable[Amount],ExpenseTable[Category],Table4[[#This Row],[Category]],ExpenseTable[Mth],6)</f>
        <v>95840</v>
      </c>
      <c r="K23" s="3">
        <f>+SUMIFS(ExpenseTable[Amount],ExpenseTable[Category],Table4[[#This Row],[Category]],ExpenseTable[Mth],7)</f>
        <v>19200</v>
      </c>
      <c r="L23" s="3">
        <f>+SUMIFS(ExpenseTable[Amount],ExpenseTable[Category],Table4[[#This Row],[Category]],ExpenseTable[Mth],8)</f>
        <v>4250</v>
      </c>
      <c r="M23" s="3">
        <f>+SUMIFS(ExpenseTable[Amount],ExpenseTable[Category],Table4[[#This Row],[Category]],ExpenseTable[Mth],9)</f>
        <v>81600</v>
      </c>
      <c r="N23" s="3">
        <f>+SUMIFS(ExpenseTable[Amount],ExpenseTable[Category],Table4[[#This Row],[Category]],ExpenseTable[Mth],10)</f>
        <v>56700</v>
      </c>
      <c r="O23" s="3">
        <f>+SUMIFS(ExpenseTable[Amount],ExpenseTable[Category],Table4[[#This Row],[Category]],ExpenseTable[Mth],11)</f>
        <v>32770</v>
      </c>
      <c r="P23" s="3">
        <f>+SUMIFS(ExpenseTable[Amount],ExpenseTable[Category],Table4[[#This Row],[Category]],ExpenseTable[Mth],12)</f>
        <v>13940</v>
      </c>
    </row>
    <row r="24" spans="1:16" ht="18.5" x14ac:dyDescent="0.45">
      <c r="A24" s="1" t="s">
        <v>41</v>
      </c>
      <c r="B24" s="17">
        <f>+RANK(Table4[[#This Row],[Total]],Table4[Total],0)</f>
        <v>40</v>
      </c>
      <c r="C24" s="17">
        <f>+COUNTIF(ExpenseTable[Category],Table4[[#This Row],[Category]])</f>
        <v>1</v>
      </c>
      <c r="D24" s="4">
        <f>+SUMIF(ExpenseTable[Category],Table4[[#This Row],[Category]],ExpenseTable[Amount])</f>
        <v>30000</v>
      </c>
      <c r="E24" s="3">
        <f>+SUMIFS(ExpenseTable[Amount],ExpenseTable[Category],Table4[[#This Row],[Category]],ExpenseTable[Mth],1)</f>
        <v>0</v>
      </c>
      <c r="F24" s="3">
        <f>+SUMIFS(ExpenseTable[Amount],ExpenseTable[Category],Table4[[#This Row],[Category]],ExpenseTable[Mth],2)</f>
        <v>0</v>
      </c>
      <c r="G24" s="3">
        <f>+SUMIFS(ExpenseTable[Amount],ExpenseTable[Category],Table4[[#This Row],[Category]],ExpenseTable[Mth],3)</f>
        <v>30000</v>
      </c>
      <c r="H24" s="3">
        <f>+SUMIFS(ExpenseTable[Amount],ExpenseTable[Category],Table4[[#This Row],[Category]],ExpenseTable[Mth],4)</f>
        <v>0</v>
      </c>
      <c r="I24" s="3">
        <f>+SUMIFS(ExpenseTable[Amount],ExpenseTable[Category],Table4[[#This Row],[Category]],ExpenseTable[Mth],5)</f>
        <v>0</v>
      </c>
      <c r="J24" s="3">
        <f>+SUMIFS(ExpenseTable[Amount],ExpenseTable[Category],Table4[[#This Row],[Category]],ExpenseTable[Mth],6)</f>
        <v>0</v>
      </c>
      <c r="K24" s="3">
        <f>+SUMIFS(ExpenseTable[Amount],ExpenseTable[Category],Table4[[#This Row],[Category]],ExpenseTable[Mth],7)</f>
        <v>0</v>
      </c>
      <c r="L24" s="3">
        <f>+SUMIFS(ExpenseTable[Amount],ExpenseTable[Category],Table4[[#This Row],[Category]],ExpenseTable[Mth],8)</f>
        <v>0</v>
      </c>
      <c r="M24" s="3">
        <f>+SUMIFS(ExpenseTable[Amount],ExpenseTable[Category],Table4[[#This Row],[Category]],ExpenseTable[Mth],9)</f>
        <v>0</v>
      </c>
      <c r="N24" s="3">
        <f>+SUMIFS(ExpenseTable[Amount],ExpenseTable[Category],Table4[[#This Row],[Category]],ExpenseTable[Mth],10)</f>
        <v>0</v>
      </c>
      <c r="O24" s="3">
        <f>+SUMIFS(ExpenseTable[Amount],ExpenseTable[Category],Table4[[#This Row],[Category]],ExpenseTable[Mth],11)</f>
        <v>0</v>
      </c>
      <c r="P24" s="3">
        <f>+SUMIFS(ExpenseTable[Amount],ExpenseTable[Category],Table4[[#This Row],[Category]],ExpenseTable[Mth],12)</f>
        <v>0</v>
      </c>
    </row>
    <row r="25" spans="1:16" ht="18.5" x14ac:dyDescent="0.45">
      <c r="A25" s="1" t="s">
        <v>32</v>
      </c>
      <c r="B25" s="17">
        <f>+RANK(Table4[[#This Row],[Total]],Table4[Total],0)</f>
        <v>24</v>
      </c>
      <c r="C25" s="17">
        <f>+COUNTIF(ExpenseTable[Category],Table4[[#This Row],[Category]])</f>
        <v>38</v>
      </c>
      <c r="D25" s="4">
        <f>+SUMIF(ExpenseTable[Category],Table4[[#This Row],[Category]],ExpenseTable[Amount])</f>
        <v>836029</v>
      </c>
      <c r="E25" s="3">
        <f>+SUMIFS(ExpenseTable[Amount],ExpenseTable[Category],Table4[[#This Row],[Category]],ExpenseTable[Mth],1)</f>
        <v>109100</v>
      </c>
      <c r="F25" s="3">
        <f>+SUMIFS(ExpenseTable[Amount],ExpenseTable[Category],Table4[[#This Row],[Category]],ExpenseTable[Mth],2)</f>
        <v>140000</v>
      </c>
      <c r="G25" s="3">
        <f>+SUMIFS(ExpenseTable[Amount],ExpenseTable[Category],Table4[[#This Row],[Category]],ExpenseTable[Mth],3)</f>
        <v>215800</v>
      </c>
      <c r="H25" s="3">
        <f>+SUMIFS(ExpenseTable[Amount],ExpenseTable[Category],Table4[[#This Row],[Category]],ExpenseTable[Mth],4)</f>
        <v>285529</v>
      </c>
      <c r="I25" s="3">
        <f>+SUMIFS(ExpenseTable[Amount],ExpenseTable[Category],Table4[[#This Row],[Category]],ExpenseTable[Mth],5)</f>
        <v>53400</v>
      </c>
      <c r="J25" s="3">
        <f>+SUMIFS(ExpenseTable[Amount],ExpenseTable[Category],Table4[[#This Row],[Category]],ExpenseTable[Mth],6)</f>
        <v>0</v>
      </c>
      <c r="K25" s="3">
        <f>+SUMIFS(ExpenseTable[Amount],ExpenseTable[Category],Table4[[#This Row],[Category]],ExpenseTable[Mth],7)</f>
        <v>25200</v>
      </c>
      <c r="L25" s="3">
        <f>+SUMIFS(ExpenseTable[Amount],ExpenseTable[Category],Table4[[#This Row],[Category]],ExpenseTable[Mth],8)</f>
        <v>7000</v>
      </c>
      <c r="M25" s="3">
        <f>+SUMIFS(ExpenseTable[Amount],ExpenseTable[Category],Table4[[#This Row],[Category]],ExpenseTable[Mth],9)</f>
        <v>0</v>
      </c>
      <c r="N25" s="3">
        <f>+SUMIFS(ExpenseTable[Amount],ExpenseTable[Category],Table4[[#This Row],[Category]],ExpenseTable[Mth],10)</f>
        <v>0</v>
      </c>
      <c r="O25" s="3">
        <f>+SUMIFS(ExpenseTable[Amount],ExpenseTable[Category],Table4[[#This Row],[Category]],ExpenseTable[Mth],11)</f>
        <v>0</v>
      </c>
      <c r="P25" s="3">
        <f>+SUMIFS(ExpenseTable[Amount],ExpenseTable[Category],Table4[[#This Row],[Category]],ExpenseTable[Mth],12)</f>
        <v>0</v>
      </c>
    </row>
    <row r="26" spans="1:16" ht="18.5" x14ac:dyDescent="0.45">
      <c r="A26" s="1" t="s">
        <v>4</v>
      </c>
      <c r="B26" s="17">
        <f>+RANK(Table4[[#This Row],[Total]],Table4[Total],0)</f>
        <v>25</v>
      </c>
      <c r="C26" s="17">
        <f>+COUNTIF(ExpenseTable[Category],Table4[[#This Row],[Category]])</f>
        <v>23</v>
      </c>
      <c r="D26" s="4">
        <f>+SUMIF(ExpenseTable[Category],Table4[[#This Row],[Category]],ExpenseTable[Amount])</f>
        <v>766800</v>
      </c>
      <c r="E26" s="3">
        <f>+SUMIFS(ExpenseTable[Amount],ExpenseTable[Category],Table4[[#This Row],[Category]],ExpenseTable[Mth],1)</f>
        <v>11500</v>
      </c>
      <c r="F26" s="3">
        <f>+SUMIFS(ExpenseTable[Amount],ExpenseTable[Category],Table4[[#This Row],[Category]],ExpenseTable[Mth],2)</f>
        <v>30000</v>
      </c>
      <c r="G26" s="3">
        <f>+SUMIFS(ExpenseTable[Amount],ExpenseTable[Category],Table4[[#This Row],[Category]],ExpenseTable[Mth],3)</f>
        <v>60000</v>
      </c>
      <c r="H26" s="3">
        <f>+SUMIFS(ExpenseTable[Amount],ExpenseTable[Category],Table4[[#This Row],[Category]],ExpenseTable[Mth],4)</f>
        <v>30000</v>
      </c>
      <c r="I26" s="3">
        <f>+SUMIFS(ExpenseTable[Amount],ExpenseTable[Category],Table4[[#This Row],[Category]],ExpenseTable[Mth],5)</f>
        <v>40000</v>
      </c>
      <c r="J26" s="3">
        <f>+SUMIFS(ExpenseTable[Amount],ExpenseTable[Category],Table4[[#This Row],[Category]],ExpenseTable[Mth],6)</f>
        <v>0</v>
      </c>
      <c r="K26" s="3">
        <f>+SUMIFS(ExpenseTable[Amount],ExpenseTable[Category],Table4[[#This Row],[Category]],ExpenseTable[Mth],7)</f>
        <v>0</v>
      </c>
      <c r="L26" s="3">
        <f>+SUMIFS(ExpenseTable[Amount],ExpenseTable[Category],Table4[[#This Row],[Category]],ExpenseTable[Mth],8)</f>
        <v>0</v>
      </c>
      <c r="M26" s="3">
        <f>+SUMIFS(ExpenseTable[Amount],ExpenseTable[Category],Table4[[#This Row],[Category]],ExpenseTable[Mth],9)</f>
        <v>30000</v>
      </c>
      <c r="N26" s="3">
        <f>+SUMIFS(ExpenseTable[Amount],ExpenseTable[Category],Table4[[#This Row],[Category]],ExpenseTable[Mth],10)</f>
        <v>493300</v>
      </c>
      <c r="O26" s="3">
        <f>+SUMIFS(ExpenseTable[Amount],ExpenseTable[Category],Table4[[#This Row],[Category]],ExpenseTable[Mth],11)</f>
        <v>72000</v>
      </c>
      <c r="P26" s="3">
        <f>+SUMIFS(ExpenseTable[Amount],ExpenseTable[Category],Table4[[#This Row],[Category]],ExpenseTable[Mth],12)</f>
        <v>0</v>
      </c>
    </row>
    <row r="27" spans="1:16" ht="18.5" x14ac:dyDescent="0.45">
      <c r="A27" s="1" t="s">
        <v>19</v>
      </c>
      <c r="B27" s="17">
        <f>+RANK(Table4[[#This Row],[Total]],Table4[Total],0)</f>
        <v>27</v>
      </c>
      <c r="C27" s="17">
        <f>+COUNTIF(ExpenseTable[Category],Table4[[#This Row],[Category]])</f>
        <v>14</v>
      </c>
      <c r="D27" s="4">
        <f>+SUMIF(ExpenseTable[Category],Table4[[#This Row],[Category]],ExpenseTable[Amount])</f>
        <v>535550</v>
      </c>
      <c r="E27" s="3">
        <f>+SUMIFS(ExpenseTable[Amount],ExpenseTable[Category],Table4[[#This Row],[Category]],ExpenseTable[Mth],1)</f>
        <v>0</v>
      </c>
      <c r="F27" s="3">
        <f>+SUMIFS(ExpenseTable[Amount],ExpenseTable[Category],Table4[[#This Row],[Category]],ExpenseTable[Mth],2)</f>
        <v>50000</v>
      </c>
      <c r="G27" s="3">
        <f>+SUMIFS(ExpenseTable[Amount],ExpenseTable[Category],Table4[[#This Row],[Category]],ExpenseTable[Mth],3)</f>
        <v>0</v>
      </c>
      <c r="H27" s="3">
        <f>+SUMIFS(ExpenseTable[Amount],ExpenseTable[Category],Table4[[#This Row],[Category]],ExpenseTable[Mth],4)</f>
        <v>196000</v>
      </c>
      <c r="I27" s="3">
        <f>+SUMIFS(ExpenseTable[Amount],ExpenseTable[Category],Table4[[#This Row],[Category]],ExpenseTable[Mth],5)</f>
        <v>204000</v>
      </c>
      <c r="J27" s="3">
        <f>+SUMIFS(ExpenseTable[Amount],ExpenseTable[Category],Table4[[#This Row],[Category]],ExpenseTable[Mth],6)</f>
        <v>5000</v>
      </c>
      <c r="K27" s="3">
        <f>+SUMIFS(ExpenseTable[Amount],ExpenseTable[Category],Table4[[#This Row],[Category]],ExpenseTable[Mth],7)</f>
        <v>1700</v>
      </c>
      <c r="L27" s="3">
        <f>+SUMIFS(ExpenseTable[Amount],ExpenseTable[Category],Table4[[#This Row],[Category]],ExpenseTable[Mth],8)</f>
        <v>0</v>
      </c>
      <c r="M27" s="3">
        <f>+SUMIFS(ExpenseTable[Amount],ExpenseTable[Category],Table4[[#This Row],[Category]],ExpenseTable[Mth],9)</f>
        <v>0</v>
      </c>
      <c r="N27" s="3">
        <f>+SUMIFS(ExpenseTable[Amount],ExpenseTable[Category],Table4[[#This Row],[Category]],ExpenseTable[Mth],10)</f>
        <v>6000</v>
      </c>
      <c r="O27" s="3">
        <f>+SUMIFS(ExpenseTable[Amount],ExpenseTable[Category],Table4[[#This Row],[Category]],ExpenseTable[Mth],11)</f>
        <v>12500</v>
      </c>
      <c r="P27" s="3">
        <f>+SUMIFS(ExpenseTable[Amount],ExpenseTable[Category],Table4[[#This Row],[Category]],ExpenseTable[Mth],12)</f>
        <v>60350</v>
      </c>
    </row>
    <row r="28" spans="1:16" ht="18.5" x14ac:dyDescent="0.45">
      <c r="A28" s="1" t="s">
        <v>56</v>
      </c>
      <c r="B28" s="17">
        <f>+RANK(Table4[[#This Row],[Total]],Table4[Total],0)</f>
        <v>19</v>
      </c>
      <c r="C28" s="17">
        <f>+COUNTIF(ExpenseTable[Category],Table4[[#This Row],[Category]])</f>
        <v>12</v>
      </c>
      <c r="D28" s="4">
        <f>+SUMIF(ExpenseTable[Category],Table4[[#This Row],[Category]],ExpenseTable[Amount])</f>
        <v>1959828.2600000002</v>
      </c>
      <c r="E28" s="3">
        <f>+SUMIFS(ExpenseTable[Amount],ExpenseTable[Category],Table4[[#This Row],[Category]],ExpenseTable[Mth],1)</f>
        <v>158520.01</v>
      </c>
      <c r="F28" s="3">
        <f>+SUMIFS(ExpenseTable[Amount],ExpenseTable[Category],Table4[[#This Row],[Category]],ExpenseTable[Mth],2)</f>
        <v>114520.03</v>
      </c>
      <c r="G28" s="3">
        <f>+SUMIFS(ExpenseTable[Amount],ExpenseTable[Category],Table4[[#This Row],[Category]],ExpenseTable[Mth],3)</f>
        <v>133680.03</v>
      </c>
      <c r="H28" s="3">
        <f>+SUMIFS(ExpenseTable[Amount],ExpenseTable[Category],Table4[[#This Row],[Category]],ExpenseTable[Mth],4)</f>
        <v>172946.7</v>
      </c>
      <c r="I28" s="3">
        <f>+SUMIFS(ExpenseTable[Amount],ExpenseTable[Category],Table4[[#This Row],[Category]],ExpenseTable[Mth],5)</f>
        <v>170500.03</v>
      </c>
      <c r="J28" s="3">
        <f>+SUMIFS(ExpenseTable[Amount],ExpenseTable[Category],Table4[[#This Row],[Category]],ExpenseTable[Mth],6)</f>
        <v>164573.35999999999</v>
      </c>
      <c r="K28" s="3">
        <f>+SUMIFS(ExpenseTable[Amount],ExpenseTable[Category],Table4[[#This Row],[Category]],ExpenseTable[Mth],7)</f>
        <v>164573.35999999999</v>
      </c>
      <c r="L28" s="3">
        <f>+SUMIFS(ExpenseTable[Amount],ExpenseTable[Category],Table4[[#This Row],[Category]],ExpenseTable[Mth],8)</f>
        <v>147442.03</v>
      </c>
      <c r="M28" s="3">
        <f>+SUMIFS(ExpenseTable[Amount],ExpenseTable[Category],Table4[[#This Row],[Category]],ExpenseTable[Mth],9)</f>
        <v>0</v>
      </c>
      <c r="N28" s="3">
        <f>+SUMIFS(ExpenseTable[Amount],ExpenseTable[Category],Table4[[#This Row],[Category]],ExpenseTable[Mth],10)</f>
        <v>158499.34</v>
      </c>
      <c r="O28" s="3">
        <f>+SUMIFS(ExpenseTable[Amount],ExpenseTable[Category],Table4[[#This Row],[Category]],ExpenseTable[Mth],11)</f>
        <v>177380.69</v>
      </c>
      <c r="P28" s="3">
        <f>+SUMIFS(ExpenseTable[Amount],ExpenseTable[Category],Table4[[#This Row],[Category]],ExpenseTable[Mth],12)</f>
        <v>397192.68</v>
      </c>
    </row>
    <row r="29" spans="1:16" ht="18.5" x14ac:dyDescent="0.45">
      <c r="A29" s="1" t="s">
        <v>26</v>
      </c>
      <c r="B29" s="17">
        <f>+RANK(Table4[[#This Row],[Total]],Table4[Total],0)</f>
        <v>22</v>
      </c>
      <c r="C29" s="17">
        <f>+COUNTIF(ExpenseTable[Category],Table4[[#This Row],[Category]])</f>
        <v>12</v>
      </c>
      <c r="D29" s="4">
        <f>+SUMIF(ExpenseTable[Category],Table4[[#This Row],[Category]],ExpenseTable[Amount])</f>
        <v>890650</v>
      </c>
      <c r="E29" s="3">
        <f>+SUMIFS(ExpenseTable[Amount],ExpenseTable[Category],Table4[[#This Row],[Category]],ExpenseTable[Mth],1)</f>
        <v>0</v>
      </c>
      <c r="F29" s="3">
        <f>+SUMIFS(ExpenseTable[Amount],ExpenseTable[Category],Table4[[#This Row],[Category]],ExpenseTable[Mth],2)</f>
        <v>0</v>
      </c>
      <c r="G29" s="3">
        <f>+SUMIFS(ExpenseTable[Amount],ExpenseTable[Category],Table4[[#This Row],[Category]],ExpenseTable[Mth],3)</f>
        <v>0</v>
      </c>
      <c r="H29" s="3">
        <f>+SUMIFS(ExpenseTable[Amount],ExpenseTable[Category],Table4[[#This Row],[Category]],ExpenseTable[Mth],4)</f>
        <v>0</v>
      </c>
      <c r="I29" s="3">
        <f>+SUMIFS(ExpenseTable[Amount],ExpenseTable[Category],Table4[[#This Row],[Category]],ExpenseTable[Mth],5)</f>
        <v>0</v>
      </c>
      <c r="J29" s="3">
        <f>+SUMIFS(ExpenseTable[Amount],ExpenseTable[Category],Table4[[#This Row],[Category]],ExpenseTable[Mth],6)</f>
        <v>40000</v>
      </c>
      <c r="K29" s="3">
        <f>+SUMIFS(ExpenseTable[Amount],ExpenseTable[Category],Table4[[#This Row],[Category]],ExpenseTable[Mth],7)</f>
        <v>85000</v>
      </c>
      <c r="L29" s="3">
        <f>+SUMIFS(ExpenseTable[Amount],ExpenseTable[Category],Table4[[#This Row],[Category]],ExpenseTable[Mth],8)</f>
        <v>765650</v>
      </c>
      <c r="M29" s="3">
        <f>+SUMIFS(ExpenseTable[Amount],ExpenseTable[Category],Table4[[#This Row],[Category]],ExpenseTable[Mth],9)</f>
        <v>0</v>
      </c>
      <c r="N29" s="3">
        <f>+SUMIFS(ExpenseTable[Amount],ExpenseTable[Category],Table4[[#This Row],[Category]],ExpenseTable[Mth],10)</f>
        <v>0</v>
      </c>
      <c r="O29" s="3">
        <f>+SUMIFS(ExpenseTable[Amount],ExpenseTable[Category],Table4[[#This Row],[Category]],ExpenseTable[Mth],11)</f>
        <v>0</v>
      </c>
      <c r="P29" s="3">
        <f>+SUMIFS(ExpenseTable[Amount],ExpenseTable[Category],Table4[[#This Row],[Category]],ExpenseTable[Mth],12)</f>
        <v>0</v>
      </c>
    </row>
    <row r="30" spans="1:16" ht="18.5" x14ac:dyDescent="0.45">
      <c r="A30" s="1" t="s">
        <v>40</v>
      </c>
      <c r="B30" s="17">
        <f>+RANK(Table4[[#This Row],[Total]],Table4[Total],0)</f>
        <v>9</v>
      </c>
      <c r="C30" s="17">
        <f>+COUNTIF(ExpenseTable[Category],Table4[[#This Row],[Category]])</f>
        <v>129</v>
      </c>
      <c r="D30" s="4">
        <f>+SUMIF(ExpenseTable[Category],Table4[[#This Row],[Category]],ExpenseTable[Amount])</f>
        <v>5457917</v>
      </c>
      <c r="E30" s="3">
        <f>+SUMIFS(ExpenseTable[Amount],ExpenseTable[Category],Table4[[#This Row],[Category]],ExpenseTable[Mth],1)</f>
        <v>447000</v>
      </c>
      <c r="F30" s="3">
        <f>+SUMIFS(ExpenseTable[Amount],ExpenseTable[Category],Table4[[#This Row],[Category]],ExpenseTable[Mth],2)</f>
        <v>130000</v>
      </c>
      <c r="G30" s="3">
        <f>+SUMIFS(ExpenseTable[Amount],ExpenseTable[Category],Table4[[#This Row],[Category]],ExpenseTable[Mth],3)</f>
        <v>488315</v>
      </c>
      <c r="H30" s="3">
        <f>+SUMIFS(ExpenseTable[Amount],ExpenseTable[Category],Table4[[#This Row],[Category]],ExpenseTable[Mth],4)</f>
        <v>960500</v>
      </c>
      <c r="I30" s="3">
        <f>+SUMIFS(ExpenseTable[Amount],ExpenseTable[Category],Table4[[#This Row],[Category]],ExpenseTable[Mth],5)</f>
        <v>520500</v>
      </c>
      <c r="J30" s="3">
        <f>+SUMIFS(ExpenseTable[Amount],ExpenseTable[Category],Table4[[#This Row],[Category]],ExpenseTable[Mth],6)</f>
        <v>672000</v>
      </c>
      <c r="K30" s="3">
        <f>+SUMIFS(ExpenseTable[Amount],ExpenseTable[Category],Table4[[#This Row],[Category]],ExpenseTable[Mth],7)</f>
        <v>722012</v>
      </c>
      <c r="L30" s="3">
        <f>+SUMIFS(ExpenseTable[Amount],ExpenseTable[Category],Table4[[#This Row],[Category]],ExpenseTable[Mth],8)</f>
        <v>300000</v>
      </c>
      <c r="M30" s="3">
        <f>+SUMIFS(ExpenseTable[Amount],ExpenseTable[Category],Table4[[#This Row],[Category]],ExpenseTable[Mth],9)</f>
        <v>305000</v>
      </c>
      <c r="N30" s="3">
        <f>+SUMIFS(ExpenseTable[Amount],ExpenseTable[Category],Table4[[#This Row],[Category]],ExpenseTable[Mth],10)</f>
        <v>578300</v>
      </c>
      <c r="O30" s="3">
        <f>+SUMIFS(ExpenseTable[Amount],ExpenseTable[Category],Table4[[#This Row],[Category]],ExpenseTable[Mth],11)</f>
        <v>304290</v>
      </c>
      <c r="P30" s="3">
        <f>+SUMIFS(ExpenseTable[Amount],ExpenseTable[Category],Table4[[#This Row],[Category]],ExpenseTable[Mth],12)</f>
        <v>30000</v>
      </c>
    </row>
    <row r="31" spans="1:16" ht="18.5" x14ac:dyDescent="0.45">
      <c r="A31" s="1" t="s">
        <v>35</v>
      </c>
      <c r="B31" s="17">
        <f>+RANK(Table4[[#This Row],[Total]],Table4[Total],0)</f>
        <v>23</v>
      </c>
      <c r="C31" s="17">
        <f>+COUNTIF(ExpenseTable[Category],Table4[[#This Row],[Category]])</f>
        <v>23</v>
      </c>
      <c r="D31" s="4">
        <f>+SUMIF(ExpenseTable[Category],Table4[[#This Row],[Category]],ExpenseTable[Amount])</f>
        <v>861100</v>
      </c>
      <c r="E31" s="3">
        <f>+SUMIFS(ExpenseTable[Amount],ExpenseTable[Category],Table4[[#This Row],[Category]],ExpenseTable[Mth],1)</f>
        <v>55100</v>
      </c>
      <c r="F31" s="3">
        <f>+SUMIFS(ExpenseTable[Amount],ExpenseTable[Category],Table4[[#This Row],[Category]],ExpenseTable[Mth],2)</f>
        <v>55000</v>
      </c>
      <c r="G31" s="3">
        <f>+SUMIFS(ExpenseTable[Amount],ExpenseTable[Category],Table4[[#This Row],[Category]],ExpenseTable[Mth],3)</f>
        <v>139100</v>
      </c>
      <c r="H31" s="3">
        <f>+SUMIFS(ExpenseTable[Amount],ExpenseTable[Category],Table4[[#This Row],[Category]],ExpenseTable[Mth],4)</f>
        <v>158100</v>
      </c>
      <c r="I31" s="3">
        <f>+SUMIFS(ExpenseTable[Amount],ExpenseTable[Category],Table4[[#This Row],[Category]],ExpenseTable[Mth],5)</f>
        <v>203400</v>
      </c>
      <c r="J31" s="3">
        <f>+SUMIFS(ExpenseTable[Amount],ExpenseTable[Category],Table4[[#This Row],[Category]],ExpenseTable[Mth],6)</f>
        <v>120300</v>
      </c>
      <c r="K31" s="3">
        <f>+SUMIFS(ExpenseTable[Amount],ExpenseTable[Category],Table4[[#This Row],[Category]],ExpenseTable[Mth],7)</f>
        <v>0</v>
      </c>
      <c r="L31" s="3">
        <f>+SUMIFS(ExpenseTable[Amount],ExpenseTable[Category],Table4[[#This Row],[Category]],ExpenseTable[Mth],8)</f>
        <v>0</v>
      </c>
      <c r="M31" s="3">
        <f>+SUMIFS(ExpenseTable[Amount],ExpenseTable[Category],Table4[[#This Row],[Category]],ExpenseTable[Mth],9)</f>
        <v>0</v>
      </c>
      <c r="N31" s="3">
        <f>+SUMIFS(ExpenseTable[Amount],ExpenseTable[Category],Table4[[#This Row],[Category]],ExpenseTable[Mth],10)</f>
        <v>0</v>
      </c>
      <c r="O31" s="3">
        <f>+SUMIFS(ExpenseTable[Amount],ExpenseTable[Category],Table4[[#This Row],[Category]],ExpenseTable[Mth],11)</f>
        <v>0</v>
      </c>
      <c r="P31" s="3">
        <f>+SUMIFS(ExpenseTable[Amount],ExpenseTable[Category],Table4[[#This Row],[Category]],ExpenseTable[Mth],12)</f>
        <v>130100</v>
      </c>
    </row>
    <row r="32" spans="1:16" ht="18.5" x14ac:dyDescent="0.45">
      <c r="A32" s="1" t="s">
        <v>30</v>
      </c>
      <c r="B32" s="17">
        <f>+RANK(Table4[[#This Row],[Total]],Table4[Total],0)</f>
        <v>15</v>
      </c>
      <c r="C32" s="17">
        <f>+COUNTIF(ExpenseTable[Category],Table4[[#This Row],[Category]])</f>
        <v>54</v>
      </c>
      <c r="D32" s="4">
        <f>+SUMIF(ExpenseTable[Category],Table4[[#This Row],[Category]],ExpenseTable[Amount])</f>
        <v>3079453.85</v>
      </c>
      <c r="E32" s="3">
        <f>+SUMIFS(ExpenseTable[Amount],ExpenseTable[Category],Table4[[#This Row],[Category]],ExpenseTable[Mth],1)</f>
        <v>0</v>
      </c>
      <c r="F32" s="3">
        <f>+SUMIFS(ExpenseTable[Amount],ExpenseTable[Category],Table4[[#This Row],[Category]],ExpenseTable[Mth],2)</f>
        <v>40000</v>
      </c>
      <c r="G32" s="3">
        <f>+SUMIFS(ExpenseTable[Amount],ExpenseTable[Category],Table4[[#This Row],[Category]],ExpenseTable[Mth],3)</f>
        <v>1345000</v>
      </c>
      <c r="H32" s="3">
        <f>+SUMIFS(ExpenseTable[Amount],ExpenseTable[Category],Table4[[#This Row],[Category]],ExpenseTable[Mth],4)</f>
        <v>451000</v>
      </c>
      <c r="I32" s="3">
        <f>+SUMIFS(ExpenseTable[Amount],ExpenseTable[Category],Table4[[#This Row],[Category]],ExpenseTable[Mth],5)</f>
        <v>236000</v>
      </c>
      <c r="J32" s="3">
        <f>+SUMIFS(ExpenseTable[Amount],ExpenseTable[Category],Table4[[#This Row],[Category]],ExpenseTable[Mth],6)</f>
        <v>130000</v>
      </c>
      <c r="K32" s="3">
        <f>+SUMIFS(ExpenseTable[Amount],ExpenseTable[Category],Table4[[#This Row],[Category]],ExpenseTable[Mth],7)</f>
        <v>354800</v>
      </c>
      <c r="L32" s="3">
        <f>+SUMIFS(ExpenseTable[Amount],ExpenseTable[Category],Table4[[#This Row],[Category]],ExpenseTable[Mth],8)</f>
        <v>168653.85</v>
      </c>
      <c r="M32" s="3">
        <f>+SUMIFS(ExpenseTable[Amount],ExpenseTable[Category],Table4[[#This Row],[Category]],ExpenseTable[Mth],9)</f>
        <v>190000</v>
      </c>
      <c r="N32" s="3">
        <f>+SUMIFS(ExpenseTable[Amount],ExpenseTable[Category],Table4[[#This Row],[Category]],ExpenseTable[Mth],10)</f>
        <v>154000</v>
      </c>
      <c r="O32" s="3">
        <f>+SUMIFS(ExpenseTable[Amount],ExpenseTable[Category],Table4[[#This Row],[Category]],ExpenseTable[Mth],11)</f>
        <v>10000</v>
      </c>
      <c r="P32" s="3">
        <f>+SUMIFS(ExpenseTable[Amount],ExpenseTable[Category],Table4[[#This Row],[Category]],ExpenseTable[Mth],12)</f>
        <v>0</v>
      </c>
    </row>
    <row r="33" spans="1:16" ht="18.5" x14ac:dyDescent="0.45">
      <c r="A33" s="1" t="s">
        <v>43</v>
      </c>
      <c r="B33" s="17">
        <f>+RANK(Table4[[#This Row],[Total]],Table4[Total],0)</f>
        <v>37</v>
      </c>
      <c r="C33" s="17">
        <f>+COUNTIF(ExpenseTable[Category],Table4[[#This Row],[Category]])</f>
        <v>1</v>
      </c>
      <c r="D33" s="4">
        <f>+SUMIF(ExpenseTable[Category],Table4[[#This Row],[Category]],ExpenseTable[Amount])</f>
        <v>78000</v>
      </c>
      <c r="E33" s="3">
        <f>+SUMIFS(ExpenseTable[Amount],ExpenseTable[Category],Table4[[#This Row],[Category]],ExpenseTable[Mth],1)</f>
        <v>0</v>
      </c>
      <c r="F33" s="3">
        <f>+SUMIFS(ExpenseTable[Amount],ExpenseTable[Category],Table4[[#This Row],[Category]],ExpenseTable[Mth],2)</f>
        <v>0</v>
      </c>
      <c r="G33" s="3">
        <f>+SUMIFS(ExpenseTable[Amount],ExpenseTable[Category],Table4[[#This Row],[Category]],ExpenseTable[Mth],3)</f>
        <v>0</v>
      </c>
      <c r="H33" s="3">
        <f>+SUMIFS(ExpenseTable[Amount],ExpenseTable[Category],Table4[[#This Row],[Category]],ExpenseTable[Mth],4)</f>
        <v>78000</v>
      </c>
      <c r="I33" s="3">
        <f>+SUMIFS(ExpenseTable[Amount],ExpenseTable[Category],Table4[[#This Row],[Category]],ExpenseTable[Mth],5)</f>
        <v>0</v>
      </c>
      <c r="J33" s="3">
        <f>+SUMIFS(ExpenseTable[Amount],ExpenseTable[Category],Table4[[#This Row],[Category]],ExpenseTable[Mth],6)</f>
        <v>0</v>
      </c>
      <c r="K33" s="3">
        <f>+SUMIFS(ExpenseTable[Amount],ExpenseTable[Category],Table4[[#This Row],[Category]],ExpenseTable[Mth],7)</f>
        <v>0</v>
      </c>
      <c r="L33" s="3">
        <f>+SUMIFS(ExpenseTable[Amount],ExpenseTable[Category],Table4[[#This Row],[Category]],ExpenseTable[Mth],8)</f>
        <v>0</v>
      </c>
      <c r="M33" s="3">
        <f>+SUMIFS(ExpenseTable[Amount],ExpenseTable[Category],Table4[[#This Row],[Category]],ExpenseTable[Mth],9)</f>
        <v>0</v>
      </c>
      <c r="N33" s="3">
        <f>+SUMIFS(ExpenseTable[Amount],ExpenseTable[Category],Table4[[#This Row],[Category]],ExpenseTable[Mth],10)</f>
        <v>0</v>
      </c>
      <c r="O33" s="3">
        <f>+SUMIFS(ExpenseTable[Amount],ExpenseTable[Category],Table4[[#This Row],[Category]],ExpenseTable[Mth],11)</f>
        <v>0</v>
      </c>
      <c r="P33" s="3">
        <f>+SUMIFS(ExpenseTable[Amount],ExpenseTable[Category],Table4[[#This Row],[Category]],ExpenseTable[Mth],12)</f>
        <v>0</v>
      </c>
    </row>
    <row r="34" spans="1:16" ht="18.5" x14ac:dyDescent="0.45">
      <c r="A34" s="1" t="s">
        <v>38</v>
      </c>
      <c r="B34" s="17">
        <f>+RANK(Table4[[#This Row],[Total]],Table4[Total],0)</f>
        <v>10</v>
      </c>
      <c r="C34" s="17">
        <f>+COUNTIF(ExpenseTable[Category],Table4[[#This Row],[Category]])</f>
        <v>17</v>
      </c>
      <c r="D34" s="4">
        <f>+SUMIF(ExpenseTable[Category],Table4[[#This Row],[Category]],ExpenseTable[Amount])</f>
        <v>4981750</v>
      </c>
      <c r="E34" s="3">
        <f>+SUMIFS(ExpenseTable[Amount],ExpenseTable[Category],Table4[[#This Row],[Category]],ExpenseTable[Mth],1)</f>
        <v>637500</v>
      </c>
      <c r="F34" s="3">
        <f>+SUMIFS(ExpenseTable[Amount],ExpenseTable[Category],Table4[[#This Row],[Category]],ExpenseTable[Mth],2)</f>
        <v>192500</v>
      </c>
      <c r="G34" s="3">
        <f>+SUMIFS(ExpenseTable[Amount],ExpenseTable[Category],Table4[[#This Row],[Category]],ExpenseTable[Mth],3)</f>
        <v>450000</v>
      </c>
      <c r="H34" s="3">
        <f>+SUMIFS(ExpenseTable[Amount],ExpenseTable[Category],Table4[[#This Row],[Category]],ExpenseTable[Mth],4)</f>
        <v>50000</v>
      </c>
      <c r="I34" s="3">
        <f>+SUMIFS(ExpenseTable[Amount],ExpenseTable[Category],Table4[[#This Row],[Category]],ExpenseTable[Mth],5)</f>
        <v>300000</v>
      </c>
      <c r="J34" s="3">
        <f>+SUMIFS(ExpenseTable[Amount],ExpenseTable[Category],Table4[[#This Row],[Category]],ExpenseTable[Mth],6)</f>
        <v>40000</v>
      </c>
      <c r="K34" s="3">
        <f>+SUMIFS(ExpenseTable[Amount],ExpenseTable[Category],Table4[[#This Row],[Category]],ExpenseTable[Mth],7)</f>
        <v>0</v>
      </c>
      <c r="L34" s="3">
        <f>+SUMIFS(ExpenseTable[Amount],ExpenseTable[Category],Table4[[#This Row],[Category]],ExpenseTable[Mth],8)</f>
        <v>685000</v>
      </c>
      <c r="M34" s="3">
        <f>+SUMIFS(ExpenseTable[Amount],ExpenseTable[Category],Table4[[#This Row],[Category]],ExpenseTable[Mth],9)</f>
        <v>1103000</v>
      </c>
      <c r="N34" s="3">
        <f>+SUMIFS(ExpenseTable[Amount],ExpenseTable[Category],Table4[[#This Row],[Category]],ExpenseTable[Mth],10)</f>
        <v>560000</v>
      </c>
      <c r="O34" s="3">
        <f>+SUMIFS(ExpenseTable[Amount],ExpenseTable[Category],Table4[[#This Row],[Category]],ExpenseTable[Mth],11)</f>
        <v>400000</v>
      </c>
      <c r="P34" s="3">
        <f>+SUMIFS(ExpenseTable[Amount],ExpenseTable[Category],Table4[[#This Row],[Category]],ExpenseTable[Mth],12)</f>
        <v>563750</v>
      </c>
    </row>
    <row r="35" spans="1:16" ht="18.5" x14ac:dyDescent="0.45">
      <c r="A35" s="1" t="s">
        <v>57</v>
      </c>
      <c r="B35" s="17">
        <f>+RANK(Table4[[#This Row],[Total]],Table4[Total],0)</f>
        <v>11</v>
      </c>
      <c r="C35" s="17">
        <f>+COUNTIF(ExpenseTable[Category],Table4[[#This Row],[Category]])</f>
        <v>35</v>
      </c>
      <c r="D35" s="4">
        <f>+SUMIF(ExpenseTable[Category],Table4[[#This Row],[Category]],ExpenseTable[Amount])</f>
        <v>4511250</v>
      </c>
      <c r="E35" s="3">
        <f>+SUMIFS(ExpenseTable[Amount],ExpenseTable[Category],Table4[[#This Row],[Category]],ExpenseTable[Mth],1)</f>
        <v>1813050</v>
      </c>
      <c r="F35" s="3">
        <f>+SUMIFS(ExpenseTable[Amount],ExpenseTable[Category],Table4[[#This Row],[Category]],ExpenseTable[Mth],2)</f>
        <v>94200</v>
      </c>
      <c r="G35" s="3">
        <f>+SUMIFS(ExpenseTable[Amount],ExpenseTable[Category],Table4[[#This Row],[Category]],ExpenseTable[Mth],3)</f>
        <v>46600</v>
      </c>
      <c r="H35" s="3">
        <f>+SUMIFS(ExpenseTable[Amount],ExpenseTable[Category],Table4[[#This Row],[Category]],ExpenseTable[Mth],4)</f>
        <v>185000</v>
      </c>
      <c r="I35" s="3">
        <f>+SUMIFS(ExpenseTable[Amount],ExpenseTable[Category],Table4[[#This Row],[Category]],ExpenseTable[Mth],5)</f>
        <v>1891900</v>
      </c>
      <c r="J35" s="3">
        <f>+SUMIFS(ExpenseTable[Amount],ExpenseTable[Category],Table4[[#This Row],[Category]],ExpenseTable[Mth],6)</f>
        <v>10000</v>
      </c>
      <c r="K35" s="3">
        <f>+SUMIFS(ExpenseTable[Amount],ExpenseTable[Category],Table4[[#This Row],[Category]],ExpenseTable[Mth],7)</f>
        <v>356000</v>
      </c>
      <c r="L35" s="3">
        <f>+SUMIFS(ExpenseTable[Amount],ExpenseTable[Category],Table4[[#This Row],[Category]],ExpenseTable[Mth],8)</f>
        <v>94500</v>
      </c>
      <c r="M35" s="3">
        <f>+SUMIFS(ExpenseTable[Amount],ExpenseTable[Category],Table4[[#This Row],[Category]],ExpenseTable[Mth],9)</f>
        <v>0</v>
      </c>
      <c r="N35" s="3">
        <f>+SUMIFS(ExpenseTable[Amount],ExpenseTable[Category],Table4[[#This Row],[Category]],ExpenseTable[Mth],10)</f>
        <v>20000</v>
      </c>
      <c r="O35" s="3">
        <f>+SUMIFS(ExpenseTable[Amount],ExpenseTable[Category],Table4[[#This Row],[Category]],ExpenseTable[Mth],11)</f>
        <v>0</v>
      </c>
      <c r="P35" s="3">
        <f>+SUMIFS(ExpenseTable[Amount],ExpenseTable[Category],Table4[[#This Row],[Category]],ExpenseTable[Mth],12)</f>
        <v>0</v>
      </c>
    </row>
    <row r="36" spans="1:16" ht="18.5" x14ac:dyDescent="0.45">
      <c r="A36" s="1" t="s">
        <v>44</v>
      </c>
      <c r="B36" s="17">
        <f>+RANK(Table4[[#This Row],[Total]],Table4[Total],0)</f>
        <v>18</v>
      </c>
      <c r="C36" s="17">
        <f>+COUNTIF(ExpenseTable[Category],Table4[[#This Row],[Category]])</f>
        <v>2</v>
      </c>
      <c r="D36" s="4">
        <f>+SUMIF(ExpenseTable[Category],Table4[[#This Row],[Category]],ExpenseTable[Amount])</f>
        <v>2300000</v>
      </c>
      <c r="E36" s="3">
        <f>+SUMIFS(ExpenseTable[Amount],ExpenseTable[Category],Table4[[#This Row],[Category]],ExpenseTable[Mth],1)</f>
        <v>1400000</v>
      </c>
      <c r="F36" s="3">
        <f>+SUMIFS(ExpenseTable[Amount],ExpenseTable[Category],Table4[[#This Row],[Category]],ExpenseTable[Mth],2)</f>
        <v>0</v>
      </c>
      <c r="G36" s="3">
        <f>+SUMIFS(ExpenseTable[Amount],ExpenseTable[Category],Table4[[#This Row],[Category]],ExpenseTable[Mth],3)</f>
        <v>0</v>
      </c>
      <c r="H36" s="3">
        <f>+SUMIFS(ExpenseTable[Amount],ExpenseTable[Category],Table4[[#This Row],[Category]],ExpenseTable[Mth],4)</f>
        <v>0</v>
      </c>
      <c r="I36" s="3">
        <f>+SUMIFS(ExpenseTable[Amount],ExpenseTable[Category],Table4[[#This Row],[Category]],ExpenseTable[Mth],5)</f>
        <v>0</v>
      </c>
      <c r="J36" s="3">
        <f>+SUMIFS(ExpenseTable[Amount],ExpenseTable[Category],Table4[[#This Row],[Category]],ExpenseTable[Mth],6)</f>
        <v>0</v>
      </c>
      <c r="K36" s="3">
        <f>+SUMIFS(ExpenseTable[Amount],ExpenseTable[Category],Table4[[#This Row],[Category]],ExpenseTable[Mth],7)</f>
        <v>0</v>
      </c>
      <c r="L36" s="3">
        <f>+SUMIFS(ExpenseTable[Amount],ExpenseTable[Category],Table4[[#This Row],[Category]],ExpenseTable[Mth],8)</f>
        <v>0</v>
      </c>
      <c r="M36" s="3">
        <f>+SUMIFS(ExpenseTable[Amount],ExpenseTable[Category],Table4[[#This Row],[Category]],ExpenseTable[Mth],9)</f>
        <v>0</v>
      </c>
      <c r="N36" s="3">
        <f>+SUMIFS(ExpenseTable[Amount],ExpenseTable[Category],Table4[[#This Row],[Category]],ExpenseTable[Mth],10)</f>
        <v>0</v>
      </c>
      <c r="O36" s="3">
        <f>+SUMIFS(ExpenseTable[Amount],ExpenseTable[Category],Table4[[#This Row],[Category]],ExpenseTable[Mth],11)</f>
        <v>0</v>
      </c>
      <c r="P36" s="3">
        <f>+SUMIFS(ExpenseTable[Amount],ExpenseTable[Category],Table4[[#This Row],[Category]],ExpenseTable[Mth],12)</f>
        <v>900000</v>
      </c>
    </row>
    <row r="37" spans="1:16" ht="18.5" x14ac:dyDescent="0.45">
      <c r="A37" s="1" t="s">
        <v>23</v>
      </c>
      <c r="B37" s="17">
        <f>+RANK(Table4[[#This Row],[Total]],Table4[Total],0)</f>
        <v>20</v>
      </c>
      <c r="C37" s="17">
        <f>+COUNTIF(ExpenseTable[Category],Table4[[#This Row],[Category]])</f>
        <v>32</v>
      </c>
      <c r="D37" s="4">
        <f>+SUMIF(ExpenseTable[Category],Table4[[#This Row],[Category]],ExpenseTable[Amount])</f>
        <v>1421500</v>
      </c>
      <c r="E37" s="3">
        <f>+SUMIFS(ExpenseTable[Amount],ExpenseTable[Category],Table4[[#This Row],[Category]],ExpenseTable[Mth],1)</f>
        <v>121000</v>
      </c>
      <c r="F37" s="3">
        <f>+SUMIFS(ExpenseTable[Amount],ExpenseTable[Category],Table4[[#This Row],[Category]],ExpenseTable[Mth],2)</f>
        <v>20000</v>
      </c>
      <c r="G37" s="3">
        <f>+SUMIFS(ExpenseTable[Amount],ExpenseTable[Category],Table4[[#This Row],[Category]],ExpenseTable[Mth],3)</f>
        <v>430500</v>
      </c>
      <c r="H37" s="3">
        <f>+SUMIFS(ExpenseTable[Amount],ExpenseTable[Category],Table4[[#This Row],[Category]],ExpenseTable[Mth],4)</f>
        <v>158000</v>
      </c>
      <c r="I37" s="3">
        <f>+SUMIFS(ExpenseTable[Amount],ExpenseTable[Category],Table4[[#This Row],[Category]],ExpenseTable[Mth],5)</f>
        <v>258000</v>
      </c>
      <c r="J37" s="3">
        <f>+SUMIFS(ExpenseTable[Amount],ExpenseTable[Category],Table4[[#This Row],[Category]],ExpenseTable[Mth],6)</f>
        <v>293000</v>
      </c>
      <c r="K37" s="3">
        <f>+SUMIFS(ExpenseTable[Amount],ExpenseTable[Category],Table4[[#This Row],[Category]],ExpenseTable[Mth],7)</f>
        <v>10000</v>
      </c>
      <c r="L37" s="3">
        <f>+SUMIFS(ExpenseTable[Amount],ExpenseTable[Category],Table4[[#This Row],[Category]],ExpenseTable[Mth],8)</f>
        <v>0</v>
      </c>
      <c r="M37" s="3">
        <f>+SUMIFS(ExpenseTable[Amount],ExpenseTable[Category],Table4[[#This Row],[Category]],ExpenseTable[Mth],9)</f>
        <v>0</v>
      </c>
      <c r="N37" s="3">
        <f>+SUMIFS(ExpenseTable[Amount],ExpenseTable[Category],Table4[[#This Row],[Category]],ExpenseTable[Mth],10)</f>
        <v>13000</v>
      </c>
      <c r="O37" s="3">
        <f>+SUMIFS(ExpenseTable[Amount],ExpenseTable[Category],Table4[[#This Row],[Category]],ExpenseTable[Mth],11)</f>
        <v>80000</v>
      </c>
      <c r="P37" s="3">
        <f>+SUMIFS(ExpenseTable[Amount],ExpenseTable[Category],Table4[[#This Row],[Category]],ExpenseTable[Mth],12)</f>
        <v>38000</v>
      </c>
    </row>
    <row r="38" spans="1:16" ht="18.5" x14ac:dyDescent="0.45">
      <c r="A38" s="1" t="s">
        <v>29</v>
      </c>
      <c r="B38" s="17">
        <f>+RANK(Table4[[#This Row],[Total]],Table4[Total],0)</f>
        <v>3</v>
      </c>
      <c r="C38" s="17">
        <f>+COUNTIF(ExpenseTable[Category],Table4[[#This Row],[Category]])</f>
        <v>31</v>
      </c>
      <c r="D38" s="4">
        <f>+SUMIF(ExpenseTable[Category],Table4[[#This Row],[Category]],ExpenseTable[Amount])</f>
        <v>12574467.879999999</v>
      </c>
      <c r="E38" s="3">
        <f>+SUMIFS(ExpenseTable[Amount],ExpenseTable[Category],Table4[[#This Row],[Category]],ExpenseTable[Mth],1)</f>
        <v>55000</v>
      </c>
      <c r="F38" s="3">
        <f>+SUMIFS(ExpenseTable[Amount],ExpenseTable[Category],Table4[[#This Row],[Category]],ExpenseTable[Mth],2)</f>
        <v>993964.97</v>
      </c>
      <c r="G38" s="3">
        <f>+SUMIFS(ExpenseTable[Amount],ExpenseTable[Category],Table4[[#This Row],[Category]],ExpenseTable[Mth],3)</f>
        <v>2541033.46</v>
      </c>
      <c r="H38" s="3">
        <f>+SUMIFS(ExpenseTable[Amount],ExpenseTable[Category],Table4[[#This Row],[Category]],ExpenseTable[Mth],4)</f>
        <v>1802853.65</v>
      </c>
      <c r="I38" s="3">
        <f>+SUMIFS(ExpenseTable[Amount],ExpenseTable[Category],Table4[[#This Row],[Category]],ExpenseTable[Mth],5)</f>
        <v>1878065.1099999999</v>
      </c>
      <c r="J38" s="3">
        <f>+SUMIFS(ExpenseTable[Amount],ExpenseTable[Category],Table4[[#This Row],[Category]],ExpenseTable[Mth],6)</f>
        <v>0</v>
      </c>
      <c r="K38" s="3">
        <f>+SUMIFS(ExpenseTable[Amount],ExpenseTable[Category],Table4[[#This Row],[Category]],ExpenseTable[Mth],7)</f>
        <v>1150537.07</v>
      </c>
      <c r="L38" s="3">
        <f>+SUMIFS(ExpenseTable[Amount],ExpenseTable[Category],Table4[[#This Row],[Category]],ExpenseTable[Mth],8)</f>
        <v>0</v>
      </c>
      <c r="M38" s="3">
        <f>+SUMIFS(ExpenseTable[Amount],ExpenseTable[Category],Table4[[#This Row],[Category]],ExpenseTable[Mth],9)</f>
        <v>995564.85</v>
      </c>
      <c r="N38" s="3">
        <f>+SUMIFS(ExpenseTable[Amount],ExpenseTable[Category],Table4[[#This Row],[Category]],ExpenseTable[Mth],10)</f>
        <v>1582585.78</v>
      </c>
      <c r="O38" s="3">
        <f>+SUMIFS(ExpenseTable[Amount],ExpenseTable[Category],Table4[[#This Row],[Category]],ExpenseTable[Mth],11)</f>
        <v>1526936.85</v>
      </c>
      <c r="P38" s="3">
        <f>+SUMIFS(ExpenseTable[Amount],ExpenseTable[Category],Table4[[#This Row],[Category]],ExpenseTable[Mth],12)</f>
        <v>47926.14</v>
      </c>
    </row>
    <row r="39" spans="1:16" ht="18.5" x14ac:dyDescent="0.45">
      <c r="A39" s="1" t="s">
        <v>25</v>
      </c>
      <c r="B39" s="17">
        <f>+RANK(Table4[[#This Row],[Total]],Table4[Total],0)</f>
        <v>33</v>
      </c>
      <c r="C39" s="17">
        <f>+COUNTIF(ExpenseTable[Category],Table4[[#This Row],[Category]])</f>
        <v>6</v>
      </c>
      <c r="D39" s="4">
        <f>+SUMIF(ExpenseTable[Category],Table4[[#This Row],[Category]],ExpenseTable[Amount])</f>
        <v>155700</v>
      </c>
      <c r="E39" s="3">
        <f>+SUMIFS(ExpenseTable[Amount],ExpenseTable[Category],Table4[[#This Row],[Category]],ExpenseTable[Mth],1)</f>
        <v>0</v>
      </c>
      <c r="F39" s="3">
        <f>+SUMIFS(ExpenseTable[Amount],ExpenseTable[Category],Table4[[#This Row],[Category]],ExpenseTable[Mth],2)</f>
        <v>0</v>
      </c>
      <c r="G39" s="3">
        <f>+SUMIFS(ExpenseTable[Amount],ExpenseTable[Category],Table4[[#This Row],[Category]],ExpenseTable[Mth],3)</f>
        <v>47500</v>
      </c>
      <c r="H39" s="3">
        <f>+SUMIFS(ExpenseTable[Amount],ExpenseTable[Category],Table4[[#This Row],[Category]],ExpenseTable[Mth],4)</f>
        <v>0</v>
      </c>
      <c r="I39" s="3">
        <f>+SUMIFS(ExpenseTable[Amount],ExpenseTable[Category],Table4[[#This Row],[Category]],ExpenseTable[Mth],5)</f>
        <v>6200</v>
      </c>
      <c r="J39" s="3">
        <f>+SUMIFS(ExpenseTable[Amount],ExpenseTable[Category],Table4[[#This Row],[Category]],ExpenseTable[Mth],6)</f>
        <v>38000</v>
      </c>
      <c r="K39" s="3">
        <f>+SUMIFS(ExpenseTable[Amount],ExpenseTable[Category],Table4[[#This Row],[Category]],ExpenseTable[Mth],7)</f>
        <v>64000</v>
      </c>
      <c r="L39" s="3">
        <f>+SUMIFS(ExpenseTable[Amount],ExpenseTable[Category],Table4[[#This Row],[Category]],ExpenseTable[Mth],8)</f>
        <v>0</v>
      </c>
      <c r="M39" s="3">
        <f>+SUMIFS(ExpenseTable[Amount],ExpenseTable[Category],Table4[[#This Row],[Category]],ExpenseTable[Mth],9)</f>
        <v>0</v>
      </c>
      <c r="N39" s="3">
        <f>+SUMIFS(ExpenseTable[Amount],ExpenseTable[Category],Table4[[#This Row],[Category]],ExpenseTable[Mth],10)</f>
        <v>0</v>
      </c>
      <c r="O39" s="3">
        <f>+SUMIFS(ExpenseTable[Amount],ExpenseTable[Category],Table4[[#This Row],[Category]],ExpenseTable[Mth],11)</f>
        <v>0</v>
      </c>
      <c r="P39" s="3">
        <f>+SUMIFS(ExpenseTable[Amount],ExpenseTable[Category],Table4[[#This Row],[Category]],ExpenseTable[Mth],12)</f>
        <v>0</v>
      </c>
    </row>
    <row r="40" spans="1:16" ht="18.5" x14ac:dyDescent="0.45">
      <c r="A40" s="1" t="s">
        <v>88</v>
      </c>
      <c r="B40" s="17">
        <f>+RANK(Table4[[#This Row],[Total]],Table4[Total],0)</f>
        <v>13</v>
      </c>
      <c r="C40" s="17">
        <f>+COUNTIF(ExpenseTable[Category],Table4[[#This Row],[Category]])</f>
        <v>8</v>
      </c>
      <c r="D40" s="4">
        <f>+SUMIF(ExpenseTable[Category],Table4[[#This Row],[Category]],ExpenseTable[Amount])</f>
        <v>3714731.25</v>
      </c>
      <c r="E40" s="3">
        <f>+SUMIFS(ExpenseTable[Amount],ExpenseTable[Category],Table4[[#This Row],[Category]],ExpenseTable[Mth],1)</f>
        <v>0</v>
      </c>
      <c r="F40" s="3">
        <f>+SUMIFS(ExpenseTable[Amount],ExpenseTable[Category],Table4[[#This Row],[Category]],ExpenseTable[Mth],2)</f>
        <v>320000</v>
      </c>
      <c r="G40" s="3">
        <f>+SUMIFS(ExpenseTable[Amount],ExpenseTable[Category],Table4[[#This Row],[Category]],ExpenseTable[Mth],3)</f>
        <v>0</v>
      </c>
      <c r="H40" s="3">
        <f>+SUMIFS(ExpenseTable[Amount],ExpenseTable[Category],Table4[[#This Row],[Category]],ExpenseTable[Mth],4)</f>
        <v>524000</v>
      </c>
      <c r="I40" s="3">
        <f>+SUMIFS(ExpenseTable[Amount],ExpenseTable[Category],Table4[[#This Row],[Category]],ExpenseTable[Mth],5)</f>
        <v>524000</v>
      </c>
      <c r="J40" s="3">
        <f>+SUMIFS(ExpenseTable[Amount],ExpenseTable[Category],Table4[[#This Row],[Category]],ExpenseTable[Mth],6)</f>
        <v>532500</v>
      </c>
      <c r="K40" s="3">
        <f>+SUMIFS(ExpenseTable[Amount],ExpenseTable[Category],Table4[[#This Row],[Category]],ExpenseTable[Mth],7)</f>
        <v>447500</v>
      </c>
      <c r="L40" s="3">
        <f>+SUMIFS(ExpenseTable[Amount],ExpenseTable[Category],Table4[[#This Row],[Category]],ExpenseTable[Mth],8)</f>
        <v>462500</v>
      </c>
      <c r="M40" s="3">
        <f>+SUMIFS(ExpenseTable[Amount],ExpenseTable[Category],Table4[[#This Row],[Category]],ExpenseTable[Mth],9)</f>
        <v>407500</v>
      </c>
      <c r="N40" s="3">
        <f>+SUMIFS(ExpenseTable[Amount],ExpenseTable[Category],Table4[[#This Row],[Category]],ExpenseTable[Mth],10)</f>
        <v>496731.25</v>
      </c>
      <c r="O40" s="3">
        <f>+SUMIFS(ExpenseTable[Amount],ExpenseTable[Category],Table4[[#This Row],[Category]],ExpenseTable[Mth],11)</f>
        <v>0</v>
      </c>
      <c r="P40" s="3">
        <f>+SUMIFS(ExpenseTable[Amount],ExpenseTable[Category],Table4[[#This Row],[Category]],ExpenseTable[Mth],12)</f>
        <v>0</v>
      </c>
    </row>
    <row r="41" spans="1:16" ht="18.5" x14ac:dyDescent="0.45">
      <c r="A41" s="1" t="s">
        <v>39</v>
      </c>
      <c r="B41" s="17">
        <f>+RANK(Table4[[#This Row],[Total]],Table4[Total],0)</f>
        <v>36</v>
      </c>
      <c r="C41" s="17">
        <f>+COUNTIF(ExpenseTable[Category],Table4[[#This Row],[Category]])</f>
        <v>3</v>
      </c>
      <c r="D41" s="4">
        <f>+SUMIF(ExpenseTable[Category],Table4[[#This Row],[Category]],ExpenseTable[Amount])</f>
        <v>102347.06</v>
      </c>
      <c r="E41" s="3">
        <f>+SUMIFS(ExpenseTable[Amount],ExpenseTable[Category],Table4[[#This Row],[Category]],ExpenseTable[Mth],1)</f>
        <v>0</v>
      </c>
      <c r="F41" s="3">
        <f>+SUMIFS(ExpenseTable[Amount],ExpenseTable[Category],Table4[[#This Row],[Category]],ExpenseTable[Mth],2)</f>
        <v>50500</v>
      </c>
      <c r="G41" s="3">
        <f>+SUMIFS(ExpenseTable[Amount],ExpenseTable[Category],Table4[[#This Row],[Category]],ExpenseTable[Mth],3)</f>
        <v>0</v>
      </c>
      <c r="H41" s="3">
        <f>+SUMIFS(ExpenseTable[Amount],ExpenseTable[Category],Table4[[#This Row],[Category]],ExpenseTable[Mth],4)</f>
        <v>0</v>
      </c>
      <c r="I41" s="3">
        <f>+SUMIFS(ExpenseTable[Amount],ExpenseTable[Category],Table4[[#This Row],[Category]],ExpenseTable[Mth],5)</f>
        <v>0</v>
      </c>
      <c r="J41" s="3">
        <f>+SUMIFS(ExpenseTable[Amount],ExpenseTable[Category],Table4[[#This Row],[Category]],ExpenseTable[Mth],6)</f>
        <v>0</v>
      </c>
      <c r="K41" s="3">
        <f>+SUMIFS(ExpenseTable[Amount],ExpenseTable[Category],Table4[[#This Row],[Category]],ExpenseTable[Mth],7)</f>
        <v>0</v>
      </c>
      <c r="L41" s="3">
        <f>+SUMIFS(ExpenseTable[Amount],ExpenseTable[Category],Table4[[#This Row],[Category]],ExpenseTable[Mth],8)</f>
        <v>0</v>
      </c>
      <c r="M41" s="3">
        <f>+SUMIFS(ExpenseTable[Amount],ExpenseTable[Category],Table4[[#This Row],[Category]],ExpenseTable[Mth],9)</f>
        <v>51847.06</v>
      </c>
      <c r="N41" s="3">
        <f>+SUMIFS(ExpenseTable[Amount],ExpenseTable[Category],Table4[[#This Row],[Category]],ExpenseTable[Mth],10)</f>
        <v>0</v>
      </c>
      <c r="O41" s="3">
        <f>+SUMIFS(ExpenseTable[Amount],ExpenseTable[Category],Table4[[#This Row],[Category]],ExpenseTable[Mth],11)</f>
        <v>0</v>
      </c>
      <c r="P41" s="3">
        <f>+SUMIFS(ExpenseTable[Amount],ExpenseTable[Category],Table4[[#This Row],[Category]],ExpenseTable[Mth],12)</f>
        <v>0</v>
      </c>
    </row>
    <row r="42" spans="1:16" ht="18.5" x14ac:dyDescent="0.45">
      <c r="A42" s="1" t="s">
        <v>31</v>
      </c>
      <c r="B42" s="17">
        <f>+RANK(Table4[[#This Row],[Total]],Table4[Total],0)</f>
        <v>32</v>
      </c>
      <c r="C42" s="17">
        <f>+COUNTIF(ExpenseTable[Category],Table4[[#This Row],[Category]])</f>
        <v>13</v>
      </c>
      <c r="D42" s="4">
        <f>+SUMIF(ExpenseTable[Category],Table4[[#This Row],[Category]],ExpenseTable[Amount])</f>
        <v>170500</v>
      </c>
      <c r="E42" s="3">
        <f>+SUMIFS(ExpenseTable[Amount],ExpenseTable[Category],Table4[[#This Row],[Category]],ExpenseTable[Mth],1)</f>
        <v>8500</v>
      </c>
      <c r="F42" s="3">
        <f>+SUMIFS(ExpenseTable[Amount],ExpenseTable[Category],Table4[[#This Row],[Category]],ExpenseTable[Mth],2)</f>
        <v>9500</v>
      </c>
      <c r="G42" s="3">
        <f>+SUMIFS(ExpenseTable[Amount],ExpenseTable[Category],Table4[[#This Row],[Category]],ExpenseTable[Mth],3)</f>
        <v>17000</v>
      </c>
      <c r="H42" s="3">
        <f>+SUMIFS(ExpenseTable[Amount],ExpenseTable[Category],Table4[[#This Row],[Category]],ExpenseTable[Mth],4)</f>
        <v>0</v>
      </c>
      <c r="I42" s="3">
        <f>+SUMIFS(ExpenseTable[Amount],ExpenseTable[Category],Table4[[#This Row],[Category]],ExpenseTable[Mth],5)</f>
        <v>18500</v>
      </c>
      <c r="J42" s="3">
        <f>+SUMIFS(ExpenseTable[Amount],ExpenseTable[Category],Table4[[#This Row],[Category]],ExpenseTable[Mth],6)</f>
        <v>21500</v>
      </c>
      <c r="K42" s="3">
        <f>+SUMIFS(ExpenseTable[Amount],ExpenseTable[Category],Table4[[#This Row],[Category]],ExpenseTable[Mth],7)</f>
        <v>22000</v>
      </c>
      <c r="L42" s="3">
        <f>+SUMIFS(ExpenseTable[Amount],ExpenseTable[Category],Table4[[#This Row],[Category]],ExpenseTable[Mth],8)</f>
        <v>17000</v>
      </c>
      <c r="M42" s="3">
        <f>+SUMIFS(ExpenseTable[Amount],ExpenseTable[Category],Table4[[#This Row],[Category]],ExpenseTable[Mth],9)</f>
        <v>16500</v>
      </c>
      <c r="N42" s="3">
        <f>+SUMIFS(ExpenseTable[Amount],ExpenseTable[Category],Table4[[#This Row],[Category]],ExpenseTable[Mth],10)</f>
        <v>14000</v>
      </c>
      <c r="O42" s="3">
        <f>+SUMIFS(ExpenseTable[Amount],ExpenseTable[Category],Table4[[#This Row],[Category]],ExpenseTable[Mth],11)</f>
        <v>0</v>
      </c>
      <c r="P42" s="3">
        <f>+SUMIFS(ExpenseTable[Amount],ExpenseTable[Category],Table4[[#This Row],[Category]],ExpenseTable[Mth],12)</f>
        <v>26000</v>
      </c>
    </row>
    <row r="43" spans="1:16" ht="18.5" x14ac:dyDescent="0.45">
      <c r="A43" s="1" t="s">
        <v>55</v>
      </c>
      <c r="B43" s="17">
        <f>+RANK(Table4[[#This Row],[Total]],Table4[Total],0)</f>
        <v>8</v>
      </c>
      <c r="C43" s="17">
        <f>+COUNTIF(ExpenseTable[Category],Table4[[#This Row],[Category]])</f>
        <v>33</v>
      </c>
      <c r="D43" s="4">
        <f>+SUMIF(ExpenseTable[Category],Table4[[#This Row],[Category]],ExpenseTable[Amount])</f>
        <v>5762400</v>
      </c>
      <c r="E43" s="3">
        <f>+SUMIFS(ExpenseTable[Amount],ExpenseTable[Category],Table4[[#This Row],[Category]],ExpenseTable[Mth],1)</f>
        <v>1180000</v>
      </c>
      <c r="F43" s="3">
        <f>+SUMIFS(ExpenseTable[Amount],ExpenseTable[Category],Table4[[#This Row],[Category]],ExpenseTable[Mth],2)</f>
        <v>0</v>
      </c>
      <c r="G43" s="3">
        <f>+SUMIFS(ExpenseTable[Amount],ExpenseTable[Category],Table4[[#This Row],[Category]],ExpenseTable[Mth],3)</f>
        <v>800000</v>
      </c>
      <c r="H43" s="3">
        <f>+SUMIFS(ExpenseTable[Amount],ExpenseTable[Category],Table4[[#This Row],[Category]],ExpenseTable[Mth],4)</f>
        <v>2012000</v>
      </c>
      <c r="I43" s="3">
        <f>+SUMIFS(ExpenseTable[Amount],ExpenseTable[Category],Table4[[#This Row],[Category]],ExpenseTable[Mth],5)</f>
        <v>943000</v>
      </c>
      <c r="J43" s="3">
        <f>+SUMIFS(ExpenseTable[Amount],ExpenseTable[Category],Table4[[#This Row],[Category]],ExpenseTable[Mth],6)</f>
        <v>2400</v>
      </c>
      <c r="K43" s="3">
        <f>+SUMIFS(ExpenseTable[Amount],ExpenseTable[Category],Table4[[#This Row],[Category]],ExpenseTable[Mth],7)</f>
        <v>804500</v>
      </c>
      <c r="L43" s="3">
        <f>+SUMIFS(ExpenseTable[Amount],ExpenseTable[Category],Table4[[#This Row],[Category]],ExpenseTable[Mth],8)</f>
        <v>0</v>
      </c>
      <c r="M43" s="3">
        <f>+SUMIFS(ExpenseTable[Amount],ExpenseTable[Category],Table4[[#This Row],[Category]],ExpenseTable[Mth],9)</f>
        <v>0</v>
      </c>
      <c r="N43" s="3">
        <f>+SUMIFS(ExpenseTable[Amount],ExpenseTable[Category],Table4[[#This Row],[Category]],ExpenseTable[Mth],10)</f>
        <v>0</v>
      </c>
      <c r="O43" s="3">
        <f>+SUMIFS(ExpenseTable[Amount],ExpenseTable[Category],Table4[[#This Row],[Category]],ExpenseTable[Mth],11)</f>
        <v>2500</v>
      </c>
      <c r="P43" s="3">
        <f>+SUMIFS(ExpenseTable[Amount],ExpenseTable[Category],Table4[[#This Row],[Category]],ExpenseTable[Mth],12)</f>
        <v>18000</v>
      </c>
    </row>
    <row r="44" spans="1:16" ht="18.5" x14ac:dyDescent="0.45">
      <c r="A44" s="1" t="s">
        <v>42</v>
      </c>
      <c r="B44" s="17">
        <f>+RANK(Table4[[#This Row],[Total]],Table4[Total],0)</f>
        <v>28</v>
      </c>
      <c r="C44" s="17">
        <f>+COUNTIF(ExpenseTable[Category],Table4[[#This Row],[Category]])</f>
        <v>5</v>
      </c>
      <c r="D44" s="4">
        <f>+SUMIF(ExpenseTable[Category],Table4[[#This Row],[Category]],ExpenseTable[Amount])</f>
        <v>495000</v>
      </c>
      <c r="E44" s="3">
        <f>+SUMIFS(ExpenseTable[Amount],ExpenseTable[Category],Table4[[#This Row],[Category]],ExpenseTable[Mth],1)</f>
        <v>0</v>
      </c>
      <c r="F44" s="3">
        <f>+SUMIFS(ExpenseTable[Amount],ExpenseTable[Category],Table4[[#This Row],[Category]],ExpenseTable[Mth],2)</f>
        <v>75000</v>
      </c>
      <c r="G44" s="3">
        <f>+SUMIFS(ExpenseTable[Amount],ExpenseTable[Category],Table4[[#This Row],[Category]],ExpenseTable[Mth],3)</f>
        <v>120000</v>
      </c>
      <c r="H44" s="3">
        <f>+SUMIFS(ExpenseTable[Amount],ExpenseTable[Category],Table4[[#This Row],[Category]],ExpenseTable[Mth],4)</f>
        <v>250000</v>
      </c>
      <c r="I44" s="3">
        <f>+SUMIFS(ExpenseTable[Amount],ExpenseTable[Category],Table4[[#This Row],[Category]],ExpenseTable[Mth],5)</f>
        <v>50000</v>
      </c>
      <c r="J44" s="3">
        <f>+SUMIFS(ExpenseTable[Amount],ExpenseTable[Category],Table4[[#This Row],[Category]],ExpenseTable[Mth],6)</f>
        <v>0</v>
      </c>
      <c r="K44" s="3">
        <f>+SUMIFS(ExpenseTable[Amount],ExpenseTable[Category],Table4[[#This Row],[Category]],ExpenseTable[Mth],7)</f>
        <v>0</v>
      </c>
      <c r="L44" s="3">
        <f>+SUMIFS(ExpenseTable[Amount],ExpenseTable[Category],Table4[[#This Row],[Category]],ExpenseTable[Mth],8)</f>
        <v>0</v>
      </c>
      <c r="M44" s="3">
        <f>+SUMIFS(ExpenseTable[Amount],ExpenseTable[Category],Table4[[#This Row],[Category]],ExpenseTable[Mth],9)</f>
        <v>0</v>
      </c>
      <c r="N44" s="3">
        <f>+SUMIFS(ExpenseTable[Amount],ExpenseTable[Category],Table4[[#This Row],[Category]],ExpenseTable[Mth],10)</f>
        <v>0</v>
      </c>
      <c r="O44" s="3">
        <f>+SUMIFS(ExpenseTable[Amount],ExpenseTable[Category],Table4[[#This Row],[Category]],ExpenseTable[Mth],11)</f>
        <v>0</v>
      </c>
      <c r="P44" s="3">
        <f>+SUMIFS(ExpenseTable[Amount],ExpenseTable[Category],Table4[[#This Row],[Category]],ExpenseTable[Mth],12)</f>
        <v>0</v>
      </c>
    </row>
    <row r="45" spans="1:16" ht="18.5" x14ac:dyDescent="0.45">
      <c r="A45" s="1" t="s">
        <v>83</v>
      </c>
      <c r="B45" s="17">
        <f>+RANK(Table4[[#This Row],[Total]],Table4[Total],0)</f>
        <v>14</v>
      </c>
      <c r="C45" s="17">
        <f>+COUNTIF(ExpenseTable[Category],Table4[[#This Row],[Category]])</f>
        <v>7</v>
      </c>
      <c r="D45" s="30">
        <f>+SUMIF(ExpenseTable[Category],Table4[[#This Row],[Category]],ExpenseTable[Amount])</f>
        <v>3463062.27</v>
      </c>
      <c r="E45" s="3">
        <f>+SUMIFS(ExpenseTable[Amount],ExpenseTable[Category],Table4[[#This Row],[Category]],ExpenseTable[Mth],1)</f>
        <v>3293.02</v>
      </c>
      <c r="F45" s="3">
        <f>+SUMIFS(ExpenseTable[Amount],ExpenseTable[Category],Table4[[#This Row],[Category]],ExpenseTable[Mth],2)</f>
        <v>697674.42</v>
      </c>
      <c r="G45" s="3">
        <f>+SUMIFS(ExpenseTable[Amount],ExpenseTable[Category],Table4[[#This Row],[Category]],ExpenseTable[Mth],3)</f>
        <v>379116.28</v>
      </c>
      <c r="H45" s="3">
        <f>+SUMIFS(ExpenseTable[Amount],ExpenseTable[Category],Table4[[#This Row],[Category]],ExpenseTable[Mth],4)</f>
        <v>0</v>
      </c>
      <c r="I45" s="3">
        <f>+SUMIFS(ExpenseTable[Amount],ExpenseTable[Category],Table4[[#This Row],[Category]],ExpenseTable[Mth],5)</f>
        <v>690658.46</v>
      </c>
      <c r="J45" s="3">
        <f>+SUMIFS(ExpenseTable[Amount],ExpenseTable[Category],Table4[[#This Row],[Category]],ExpenseTable[Mth],6)</f>
        <v>690658.46</v>
      </c>
      <c r="K45" s="3">
        <f>+SUMIFS(ExpenseTable[Amount],ExpenseTable[Category],Table4[[#This Row],[Category]],ExpenseTable[Mth],7)</f>
        <v>0</v>
      </c>
      <c r="L45" s="3">
        <f>+SUMIFS(ExpenseTable[Amount],ExpenseTable[Category],Table4[[#This Row],[Category]],ExpenseTable[Mth],8)</f>
        <v>0</v>
      </c>
      <c r="M45" s="3">
        <f>+SUMIFS(ExpenseTable[Amount],ExpenseTable[Category],Table4[[#This Row],[Category]],ExpenseTable[Mth],9)</f>
        <v>0</v>
      </c>
      <c r="N45" s="3">
        <f>+SUMIFS(ExpenseTable[Amount],ExpenseTable[Category],Table4[[#This Row],[Category]],ExpenseTable[Mth],10)</f>
        <v>725818.61</v>
      </c>
      <c r="O45" s="3">
        <f>+SUMIFS(ExpenseTable[Amount],ExpenseTable[Category],Table4[[#This Row],[Category]],ExpenseTable[Mth],11)</f>
        <v>0</v>
      </c>
      <c r="P45" s="3">
        <f>+SUMIFS(ExpenseTable[Amount],ExpenseTable[Category],Table4[[#This Row],[Category]],ExpenseTable[Mth],12)</f>
        <v>275843.02</v>
      </c>
    </row>
    <row r="46" spans="1:16" ht="18.5" x14ac:dyDescent="0.45">
      <c r="A46" s="1" t="s">
        <v>47</v>
      </c>
      <c r="B46" s="17">
        <f>+RANK(Table4[[#This Row],[Total]],Table4[Total],0)</f>
        <v>12</v>
      </c>
      <c r="C46" s="17">
        <f>+COUNTIF(ExpenseTable[Category],Table4[[#This Row],[Category]])</f>
        <v>7</v>
      </c>
      <c r="D46" s="4">
        <f>+SUMIF(ExpenseTable[Category],Table4[[#This Row],[Category]],ExpenseTable[Amount])</f>
        <v>4021000</v>
      </c>
      <c r="E46" s="3">
        <f>+SUMIFS(ExpenseTable[Amount],ExpenseTable[Category],Table4[[#This Row],[Category]],ExpenseTable[Mth],1)</f>
        <v>1091000</v>
      </c>
      <c r="F46" s="3">
        <f>+SUMIFS(ExpenseTable[Amount],ExpenseTable[Category],Table4[[#This Row],[Category]],ExpenseTable[Mth],2)</f>
        <v>0</v>
      </c>
      <c r="G46" s="3">
        <f>+SUMIFS(ExpenseTable[Amount],ExpenseTable[Category],Table4[[#This Row],[Category]],ExpenseTable[Mth],3)</f>
        <v>100000</v>
      </c>
      <c r="H46" s="3">
        <f>+SUMIFS(ExpenseTable[Amount],ExpenseTable[Category],Table4[[#This Row],[Category]],ExpenseTable[Mth],4)</f>
        <v>0</v>
      </c>
      <c r="I46" s="3">
        <f>+SUMIFS(ExpenseTable[Amount],ExpenseTable[Category],Table4[[#This Row],[Category]],ExpenseTable[Mth],5)</f>
        <v>0</v>
      </c>
      <c r="J46" s="3">
        <f>+SUMIFS(ExpenseTable[Amount],ExpenseTable[Category],Table4[[#This Row],[Category]],ExpenseTable[Mth],6)</f>
        <v>0</v>
      </c>
      <c r="K46" s="3">
        <f>+SUMIFS(ExpenseTable[Amount],ExpenseTable[Category],Table4[[#This Row],[Category]],ExpenseTable[Mth],7)</f>
        <v>0</v>
      </c>
      <c r="L46" s="3">
        <f>+SUMIFS(ExpenseTable[Amount],ExpenseTable[Category],Table4[[#This Row],[Category]],ExpenseTable[Mth],8)</f>
        <v>5000</v>
      </c>
      <c r="M46" s="3">
        <f>+SUMIFS(ExpenseTable[Amount],ExpenseTable[Category],Table4[[#This Row],[Category]],ExpenseTable[Mth],9)</f>
        <v>0</v>
      </c>
      <c r="N46" s="3">
        <f>+SUMIFS(ExpenseTable[Amount],ExpenseTable[Category],Table4[[#This Row],[Category]],ExpenseTable[Mth],10)</f>
        <v>35000</v>
      </c>
      <c r="O46" s="3">
        <f>+SUMIFS(ExpenseTable[Amount],ExpenseTable[Category],Table4[[#This Row],[Category]],ExpenseTable[Mth],11)</f>
        <v>0</v>
      </c>
      <c r="P46" s="3">
        <f>+SUMIFS(ExpenseTable[Amount],ExpenseTable[Category],Table4[[#This Row],[Category]],ExpenseTable[Mth],12)</f>
        <v>2790000</v>
      </c>
    </row>
    <row r="47" spans="1:16" ht="18.5" x14ac:dyDescent="0.45">
      <c r="A47" s="1" t="s">
        <v>58</v>
      </c>
      <c r="B47" s="17"/>
      <c r="C47" s="18">
        <f>SUBTOTAL(109,Table4[No. of Trans])</f>
        <v>1335</v>
      </c>
      <c r="D47" s="10">
        <f>SUBTOTAL(109,Table4[Total])</f>
        <v>169368144.40000001</v>
      </c>
      <c r="E47" s="10">
        <f>SUBTOTAL(109,Table4[Jan])</f>
        <v>9072958.4499999993</v>
      </c>
      <c r="F47" s="10">
        <f>SUBTOTAL(109,Table4[Feb])</f>
        <v>6210708.9699999997</v>
      </c>
      <c r="G47" s="10">
        <f>SUBTOTAL(109,Table4[Mar])</f>
        <v>19816577.890000001</v>
      </c>
      <c r="H47" s="10">
        <f>SUBTOTAL(109,Table4[Apr])</f>
        <v>17727146.850000001</v>
      </c>
      <c r="I47" s="10">
        <f>SUBTOTAL(109,Table4[May])</f>
        <v>32553669.420000002</v>
      </c>
      <c r="J47" s="10">
        <f>SUBTOTAL(109,Table4[Jun])</f>
        <v>4958005.47</v>
      </c>
      <c r="K47" s="10">
        <f>SUBTOTAL(109,Table4[Jul])</f>
        <v>11770958.040000001</v>
      </c>
      <c r="L47" s="10">
        <f>SUBTOTAL(109,Table4[Aug])</f>
        <v>13160398.619999999</v>
      </c>
      <c r="M47" s="10">
        <f>SUBTOTAL(109,Table4[Sep])</f>
        <v>6081343.0999999987</v>
      </c>
      <c r="N47" s="10">
        <f>SUBTOTAL(109,Table4[Oct])</f>
        <v>18576713.73</v>
      </c>
      <c r="O47" s="10">
        <f>SUBTOTAL(109,Table4[Nov])</f>
        <v>6098524.4800000004</v>
      </c>
      <c r="P47" s="10">
        <f>SUBTOTAL(109,Table4[Dec])</f>
        <v>23341139.379999999</v>
      </c>
    </row>
    <row r="62" spans="5:5" x14ac:dyDescent="0.35">
      <c r="E62" s="6" t="s">
        <v>59</v>
      </c>
    </row>
  </sheetData>
  <phoneticPr fontId="3" type="noConversion"/>
  <conditionalFormatting sqref="D2:P47">
    <cfRule type="cellIs" dxfId="0" priority="1" operator="greaterThan">
      <formula>10000000</formula>
    </cfRule>
  </conditionalFormatting>
  <dataValidations count="1">
    <dataValidation type="custom" allowBlank="1" showInputMessage="1" showErrorMessage="1" sqref="C48" xr:uid="{1719D3AC-E3C6-42DC-B462-A6EDFF60E8D9}">
      <formula1>"min"</formula1>
    </dataValidation>
  </dataValidations>
  <pageMargins left="0.25" right="0.25" top="0.75" bottom="0.75" header="0.3" footer="0.3"/>
  <pageSetup paperSize="9" scale="67" fitToWidth="0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A7256-21FA-43FB-9B3C-AF9689539806}">
  <sheetPr codeName="Sheet5">
    <pageSetUpPr fitToPage="1"/>
  </sheetPr>
  <dimension ref="A1:P10"/>
  <sheetViews>
    <sheetView zoomScale="88" zoomScaleNormal="88" workbookViewId="0">
      <selection activeCell="F13" sqref="F13"/>
    </sheetView>
  </sheetViews>
  <sheetFormatPr defaultRowHeight="14.5" x14ac:dyDescent="0.35"/>
  <cols>
    <col min="1" max="1" width="30.54296875" bestFit="1" customWidth="1"/>
    <col min="2" max="2" width="11.54296875" style="9" bestFit="1" customWidth="1"/>
    <col min="3" max="3" width="19.26953125" style="9" bestFit="1" customWidth="1"/>
    <col min="4" max="4" width="19.7265625" style="6" bestFit="1" customWidth="1"/>
    <col min="5" max="5" width="18.453125" style="6" bestFit="1" customWidth="1"/>
    <col min="6" max="6" width="16.81640625" style="6" bestFit="1" customWidth="1"/>
    <col min="7" max="9" width="18.453125" style="6" bestFit="1" customWidth="1"/>
    <col min="10" max="11" width="16.81640625" style="6" bestFit="1" customWidth="1"/>
    <col min="12" max="12" width="9.453125" style="6" bestFit="1" customWidth="1"/>
    <col min="13" max="13" width="9.26953125" style="6" bestFit="1" customWidth="1"/>
    <col min="14" max="14" width="9.1796875" style="6" bestFit="1" customWidth="1"/>
    <col min="15" max="15" width="9.54296875" style="6" bestFit="1" customWidth="1"/>
    <col min="16" max="16" width="9.453125" style="6" bestFit="1" customWidth="1"/>
  </cols>
  <sheetData>
    <row r="1" spans="1:16" ht="18.5" x14ac:dyDescent="0.45">
      <c r="A1" s="2" t="s">
        <v>70</v>
      </c>
      <c r="B1" s="16" t="s">
        <v>60</v>
      </c>
      <c r="C1" s="16" t="s">
        <v>52</v>
      </c>
      <c r="D1" s="3" t="s">
        <v>51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</row>
    <row r="2" spans="1:16" ht="18.5" x14ac:dyDescent="0.45">
      <c r="A2" s="1" t="s">
        <v>90</v>
      </c>
      <c r="B2" s="17">
        <f>+RANK(Table410[[#This Row],[Total]],Table410[Total],0)</f>
        <v>2</v>
      </c>
      <c r="C2" s="17">
        <f>+COUNTIF(ExpenseTable[Paid From],Table410[[#This Row],[Paid From]])</f>
        <v>733</v>
      </c>
      <c r="D2" s="4">
        <f>+SUMIF(ExpenseTable[Paid From],Table410[[#This Row],[Paid From]],ExpenseTable[Amount])</f>
        <v>29950848.050000001</v>
      </c>
      <c r="E2" s="3">
        <f>+SUMIFS(ExpenseTable[Amount],ExpenseTable[Paid From],Table410[[#This Row],[Paid From]],ExpenseTable[Mth],1)</f>
        <v>898100</v>
      </c>
      <c r="F2" s="3">
        <f>+SUMIFS(ExpenseTable[Amount],ExpenseTable[Paid From],Table410[[#This Row],[Paid From]],ExpenseTable[Mth],2)</f>
        <v>1235867.3</v>
      </c>
      <c r="G2" s="3">
        <f>+SUMIFS(ExpenseTable[Amount],ExpenseTable[Paid From],Table410[[#This Row],[Paid From]],ExpenseTable[Mth],3)</f>
        <v>1065790</v>
      </c>
      <c r="H2" s="3">
        <f>+SUMIFS(ExpenseTable[Amount],ExpenseTable[Paid From],Table410[[#This Row],[Paid From]],ExpenseTable[Mth],4)</f>
        <v>6261617</v>
      </c>
      <c r="I2" s="3">
        <f>+SUMIFS(ExpenseTable[Amount],ExpenseTable[Paid From],Table410[[#This Row],[Paid From]],ExpenseTable[Mth],5)</f>
        <v>4227025.97</v>
      </c>
      <c r="J2" s="3">
        <f>+SUMIFS(ExpenseTable[Amount],ExpenseTable[Paid From],Table410[[#This Row],[Paid From]],ExpenseTable[Mth],6)</f>
        <v>1467247.25</v>
      </c>
      <c r="K2" s="3">
        <f>+SUMIFS(ExpenseTable[Amount],ExpenseTable[Paid From],Table410[[#This Row],[Paid From]],ExpenseTable[Mth],7)</f>
        <v>2860360</v>
      </c>
      <c r="L2" s="3">
        <f>+SUMIFS(ExpenseTable[Amount],ExpenseTable[Paid From],Table410[[#This Row],[Paid From]],ExpenseTable[Mth],8)</f>
        <v>3486100</v>
      </c>
      <c r="M2" s="3">
        <f>+SUMIFS(ExpenseTable[Amount],ExpenseTable[Paid From],Table410[[#This Row],[Paid From]],ExpenseTable[Mth],9)</f>
        <v>1662547.06</v>
      </c>
      <c r="N2" s="3">
        <f>+SUMIFS(ExpenseTable[Amount],ExpenseTable[Paid From],Table410[[#This Row],[Paid From]],ExpenseTable[Mth],10)</f>
        <v>2787852.79</v>
      </c>
      <c r="O2" s="3">
        <f>+SUMIFS(ExpenseTable[Amount],ExpenseTable[Paid From],Table410[[#This Row],[Paid From]],ExpenseTable[Mth],11)</f>
        <v>3079340</v>
      </c>
      <c r="P2" s="3">
        <f>+SUMIFS(ExpenseTable[Amount],ExpenseTable[Paid From],Table410[[#This Row],[Paid From]],ExpenseTable[Mth],12)</f>
        <v>919000.67999999993</v>
      </c>
    </row>
    <row r="3" spans="1:16" ht="18.5" x14ac:dyDescent="0.45">
      <c r="A3" s="1" t="s">
        <v>80</v>
      </c>
      <c r="B3" s="17">
        <f>+RANK(Table410[[#This Row],[Total]],Table410[Total],0)</f>
        <v>3</v>
      </c>
      <c r="C3" s="17">
        <f>+COUNTIF(ExpenseTable[Paid From],Table410[[#This Row],[Paid From]])</f>
        <v>12</v>
      </c>
      <c r="D3" s="4">
        <f>+SUMIF(ExpenseTable[Paid From],Table410[[#This Row],[Paid From]],ExpenseTable[Amount])</f>
        <v>6858000</v>
      </c>
      <c r="E3" s="3">
        <f>+SUMIFS(ExpenseTable[Amount],ExpenseTable[Paid From],Table410[[#This Row],[Paid From]],ExpenseTable[Mth],1)</f>
        <v>0</v>
      </c>
      <c r="F3" s="3">
        <f>+SUMIFS(ExpenseTable[Amount],ExpenseTable[Paid From],Table410[[#This Row],[Paid From]],ExpenseTable[Mth],2)</f>
        <v>0</v>
      </c>
      <c r="G3" s="3">
        <f>+SUMIFS(ExpenseTable[Amount],ExpenseTable[Paid From],Table410[[#This Row],[Paid From]],ExpenseTable[Mth],3)</f>
        <v>0</v>
      </c>
      <c r="H3" s="3">
        <f>+SUMIFS(ExpenseTable[Amount],ExpenseTable[Paid From],Table410[[#This Row],[Paid From]],ExpenseTable[Mth],4)</f>
        <v>850000</v>
      </c>
      <c r="I3" s="3">
        <f>+SUMIFS(ExpenseTable[Amount],ExpenseTable[Paid From],Table410[[#This Row],[Paid From]],ExpenseTable[Mth],5)</f>
        <v>5910000</v>
      </c>
      <c r="J3" s="3">
        <f>+SUMIFS(ExpenseTable[Amount],ExpenseTable[Paid From],Table410[[#This Row],[Paid From]],ExpenseTable[Mth],6)</f>
        <v>98000</v>
      </c>
      <c r="K3" s="3">
        <f>+SUMIFS(ExpenseTable[Amount],ExpenseTable[Paid From],Table410[[#This Row],[Paid From]],ExpenseTable[Mth],7)</f>
        <v>0</v>
      </c>
      <c r="L3" s="3">
        <f>+SUMIFS(ExpenseTable[Amount],ExpenseTable[Paid From],Table410[[#This Row],[Paid From]],ExpenseTable[Mth],8)</f>
        <v>0</v>
      </c>
      <c r="M3" s="3">
        <f>+SUMIFS(ExpenseTable[Amount],ExpenseTable[Paid From],Table410[[#This Row],[Paid From]],ExpenseTable[Mth],9)</f>
        <v>0</v>
      </c>
      <c r="N3" s="3">
        <f>+SUMIFS(ExpenseTable[Amount],ExpenseTable[Paid From],Table410[[#This Row],[Paid From]],ExpenseTable[Mth],10)</f>
        <v>0</v>
      </c>
      <c r="O3" s="3">
        <f>+SUMIFS(ExpenseTable[Amount],ExpenseTable[Paid From],Table410[[#This Row],[Paid From]],ExpenseTable[Mth],11)</f>
        <v>0</v>
      </c>
      <c r="P3" s="3">
        <f>+SUMIFS(ExpenseTable[Amount],ExpenseTable[Paid From],Table410[[#This Row],[Paid From]],ExpenseTable[Mth],12)</f>
        <v>0</v>
      </c>
    </row>
    <row r="4" spans="1:16" ht="18.5" x14ac:dyDescent="0.45">
      <c r="A4" s="1" t="s">
        <v>76</v>
      </c>
      <c r="B4" s="17">
        <f>+RANK(Table410[[#This Row],[Total]],Table410[Total],0)</f>
        <v>5</v>
      </c>
      <c r="C4" s="17">
        <f>+COUNTIF(ExpenseTable[Paid From],Table410[[#This Row],[Paid From]])</f>
        <v>0</v>
      </c>
      <c r="D4" s="4">
        <f>+SUMIF(ExpenseTable[Paid From],Table410[[#This Row],[Paid From]],ExpenseTable[Amount])</f>
        <v>0</v>
      </c>
      <c r="E4" s="3">
        <f>+SUMIFS(ExpenseTable[Amount],ExpenseTable[Paid From],Table410[[#This Row],[Paid From]],ExpenseTable[Mth],1)</f>
        <v>0</v>
      </c>
      <c r="F4" s="3">
        <f>+SUMIFS(ExpenseTable[Amount],ExpenseTable[Paid From],Table410[[#This Row],[Paid From]],ExpenseTable[Mth],2)</f>
        <v>0</v>
      </c>
      <c r="G4" s="3">
        <f>+SUMIFS(ExpenseTable[Amount],ExpenseTable[Paid From],Table410[[#This Row],[Paid From]],ExpenseTable[Mth],3)</f>
        <v>0</v>
      </c>
      <c r="H4" s="3">
        <f>+SUMIFS(ExpenseTable[Amount],ExpenseTable[Paid From],Table410[[#This Row],[Paid From]],ExpenseTable[Mth],4)</f>
        <v>0</v>
      </c>
      <c r="I4" s="3">
        <f>+SUMIFS(ExpenseTable[Amount],ExpenseTable[Paid From],Table410[[#This Row],[Paid From]],ExpenseTable[Mth],5)</f>
        <v>0</v>
      </c>
      <c r="J4" s="3">
        <f>+SUMIFS(ExpenseTable[Amount],ExpenseTable[Paid From],Table410[[#This Row],[Paid From]],ExpenseTable[Mth],6)</f>
        <v>0</v>
      </c>
      <c r="K4" s="3">
        <f>+SUMIFS(ExpenseTable[Amount],ExpenseTable[Paid From],Table410[[#This Row],[Paid From]],ExpenseTable[Mth],7)</f>
        <v>0</v>
      </c>
      <c r="L4" s="3">
        <f>+SUMIFS(ExpenseTable[Amount],ExpenseTable[Paid From],Table410[[#This Row],[Paid From]],ExpenseTable[Mth],8)</f>
        <v>0</v>
      </c>
      <c r="M4" s="3">
        <f>+SUMIFS(ExpenseTable[Amount],ExpenseTable[Paid From],Table410[[#This Row],[Paid From]],ExpenseTable[Mth],9)</f>
        <v>0</v>
      </c>
      <c r="N4" s="3">
        <f>+SUMIFS(ExpenseTable[Amount],ExpenseTable[Paid From],Table410[[#This Row],[Paid From]],ExpenseTable[Mth],10)</f>
        <v>0</v>
      </c>
      <c r="O4" s="3">
        <f>+SUMIFS(ExpenseTable[Amount],ExpenseTable[Paid From],Table410[[#This Row],[Paid From]],ExpenseTable[Mth],11)</f>
        <v>0</v>
      </c>
      <c r="P4" s="3">
        <f>+SUMIFS(ExpenseTable[Amount],ExpenseTable[Paid From],Table410[[#This Row],[Paid From]],ExpenseTable[Mth],12)</f>
        <v>0</v>
      </c>
    </row>
    <row r="5" spans="1:16" ht="18.5" x14ac:dyDescent="0.45">
      <c r="A5" s="1" t="s">
        <v>93</v>
      </c>
      <c r="B5" s="17">
        <f>+RANK(Table410[[#This Row],[Total]],Table410[Total],0)</f>
        <v>5</v>
      </c>
      <c r="C5" s="17">
        <f>+COUNTIF(ExpenseTable[Paid From],Table410[[#This Row],[Paid From]])</f>
        <v>0</v>
      </c>
      <c r="D5" s="4">
        <f>+SUMIF(ExpenseTable[Paid From],Table410[[#This Row],[Paid From]],ExpenseTable[Amount])</f>
        <v>0</v>
      </c>
      <c r="E5" s="3">
        <f>+SUMIFS(ExpenseTable[Amount],ExpenseTable[Paid From],Table410[[#This Row],[Paid From]],ExpenseTable[Mth],1)</f>
        <v>0</v>
      </c>
      <c r="F5" s="3">
        <f>+SUMIFS(ExpenseTable[Amount],ExpenseTable[Paid From],Table410[[#This Row],[Paid From]],ExpenseTable[Mth],2)</f>
        <v>0</v>
      </c>
      <c r="G5" s="3">
        <f>+SUMIFS(ExpenseTable[Amount],ExpenseTable[Paid From],Table410[[#This Row],[Paid From]],ExpenseTable[Mth],3)</f>
        <v>0</v>
      </c>
      <c r="H5" s="3">
        <f>+SUMIFS(ExpenseTable[Amount],ExpenseTable[Paid From],Table410[[#This Row],[Paid From]],ExpenseTable[Mth],4)</f>
        <v>0</v>
      </c>
      <c r="I5" s="3">
        <f>+SUMIFS(ExpenseTable[Amount],ExpenseTable[Paid From],Table410[[#This Row],[Paid From]],ExpenseTable[Mth],5)</f>
        <v>0</v>
      </c>
      <c r="J5" s="3">
        <f>+SUMIFS(ExpenseTable[Amount],ExpenseTable[Paid From],Table410[[#This Row],[Paid From]],ExpenseTable[Mth],6)</f>
        <v>0</v>
      </c>
      <c r="K5" s="3">
        <f>+SUMIFS(ExpenseTable[Amount],ExpenseTable[Paid From],Table410[[#This Row],[Paid From]],ExpenseTable[Mth],7)</f>
        <v>0</v>
      </c>
      <c r="L5" s="3">
        <f>+SUMIFS(ExpenseTable[Amount],ExpenseTable[Paid From],Table410[[#This Row],[Paid From]],ExpenseTable[Mth],8)</f>
        <v>0</v>
      </c>
      <c r="M5" s="3">
        <f>+SUMIFS(ExpenseTable[Amount],ExpenseTable[Paid From],Table410[[#This Row],[Paid From]],ExpenseTable[Mth],9)</f>
        <v>0</v>
      </c>
      <c r="N5" s="3">
        <f>+SUMIFS(ExpenseTable[Amount],ExpenseTable[Paid From],Table410[[#This Row],[Paid From]],ExpenseTable[Mth],10)</f>
        <v>0</v>
      </c>
      <c r="O5" s="3">
        <f>+SUMIFS(ExpenseTable[Amount],ExpenseTable[Paid From],Table410[[#This Row],[Paid From]],ExpenseTable[Mth],11)</f>
        <v>0</v>
      </c>
      <c r="P5" s="3">
        <f>+SUMIFS(ExpenseTable[Amount],ExpenseTable[Paid From],Table410[[#This Row],[Paid From]],ExpenseTable[Mth],12)</f>
        <v>0</v>
      </c>
    </row>
    <row r="6" spans="1:16" ht="18.5" x14ac:dyDescent="0.45">
      <c r="A6" s="1" t="s">
        <v>94</v>
      </c>
      <c r="B6" s="17">
        <f>+RANK(Table410[[#This Row],[Total]],Table410[Total],0)</f>
        <v>5</v>
      </c>
      <c r="C6" s="17">
        <f>+COUNTIF(ExpenseTable[Paid From],Table410[[#This Row],[Paid From]])</f>
        <v>0</v>
      </c>
      <c r="D6" s="4">
        <f>+SUMIF(ExpenseTable[Paid From],Table410[[#This Row],[Paid From]],ExpenseTable[Amount])</f>
        <v>0</v>
      </c>
      <c r="E6" s="3">
        <f>+SUMIFS(ExpenseTable[Amount],ExpenseTable[Paid From],Table410[[#This Row],[Paid From]],ExpenseTable[Mth],1)</f>
        <v>0</v>
      </c>
      <c r="F6" s="3">
        <f>+SUMIFS(ExpenseTable[Amount],ExpenseTable[Paid From],Table410[[#This Row],[Paid From]],ExpenseTable[Mth],2)</f>
        <v>0</v>
      </c>
      <c r="G6" s="3">
        <f>+SUMIFS(ExpenseTable[Amount],ExpenseTable[Paid From],Table410[[#This Row],[Paid From]],ExpenseTable[Mth],3)</f>
        <v>0</v>
      </c>
      <c r="H6" s="3">
        <f>+SUMIFS(ExpenseTable[Amount],ExpenseTable[Paid From],Table410[[#This Row],[Paid From]],ExpenseTable[Mth],4)</f>
        <v>0</v>
      </c>
      <c r="I6" s="3">
        <f>+SUMIFS(ExpenseTable[Amount],ExpenseTable[Paid From],Table410[[#This Row],[Paid From]],ExpenseTable[Mth],5)</f>
        <v>0</v>
      </c>
      <c r="J6" s="3">
        <f>+SUMIFS(ExpenseTable[Amount],ExpenseTable[Paid From],Table410[[#This Row],[Paid From]],ExpenseTable[Mth],6)</f>
        <v>0</v>
      </c>
      <c r="K6" s="3">
        <f>+SUMIFS(ExpenseTable[Amount],ExpenseTable[Paid From],Table410[[#This Row],[Paid From]],ExpenseTable[Mth],7)</f>
        <v>0</v>
      </c>
      <c r="L6" s="3">
        <f>+SUMIFS(ExpenseTable[Amount],ExpenseTable[Paid From],Table410[[#This Row],[Paid From]],ExpenseTable[Mth],8)</f>
        <v>0</v>
      </c>
      <c r="M6" s="3">
        <f>+SUMIFS(ExpenseTable[Amount],ExpenseTable[Paid From],Table410[[#This Row],[Paid From]],ExpenseTable[Mth],9)</f>
        <v>0</v>
      </c>
      <c r="N6" s="3">
        <f>+SUMIFS(ExpenseTable[Amount],ExpenseTable[Paid From],Table410[[#This Row],[Paid From]],ExpenseTable[Mth],10)</f>
        <v>0</v>
      </c>
      <c r="O6" s="3">
        <f>+SUMIFS(ExpenseTable[Amount],ExpenseTable[Paid From],Table410[[#This Row],[Paid From]],ExpenseTable[Mth],11)</f>
        <v>0</v>
      </c>
      <c r="P6" s="3">
        <f>+SUMIFS(ExpenseTable[Amount],ExpenseTable[Paid From],Table410[[#This Row],[Paid From]],ExpenseTable[Mth],12)</f>
        <v>0</v>
      </c>
    </row>
    <row r="7" spans="1:16" ht="18.5" x14ac:dyDescent="0.45">
      <c r="A7" s="1" t="s">
        <v>91</v>
      </c>
      <c r="B7" s="17">
        <f>+RANK(Table410[[#This Row],[Total]],Table410[Total],0)</f>
        <v>1</v>
      </c>
      <c r="C7" s="17">
        <f>+COUNTIF(ExpenseTable[Paid From],Table410[[#This Row],[Paid From]])</f>
        <v>260</v>
      </c>
      <c r="D7" s="4">
        <f>+SUMIF(ExpenseTable[Paid From],Table410[[#This Row],[Paid From]],ExpenseTable[Amount])</f>
        <v>97692048.349999934</v>
      </c>
      <c r="E7" s="3">
        <f>+SUMIFS(ExpenseTable[Amount],ExpenseTable[Paid From],Table410[[#This Row],[Paid From]],ExpenseTable[Mth],1)</f>
        <v>5797637.4499999993</v>
      </c>
      <c r="F7" s="3">
        <f>+SUMIFS(ExpenseTable[Amount],ExpenseTable[Paid From],Table410[[#This Row],[Paid From]],ExpenseTable[Mth],2)</f>
        <v>4057420.67</v>
      </c>
      <c r="G7" s="3">
        <f>+SUMIFS(ExpenseTable[Amount],ExpenseTable[Paid From],Table410[[#This Row],[Paid From]],ExpenseTable[Mth],3)</f>
        <v>12206322.890000001</v>
      </c>
      <c r="H7" s="3">
        <f>+SUMIFS(ExpenseTable[Amount],ExpenseTable[Paid From],Table410[[#This Row],[Paid From]],ExpenseTable[Mth],4)</f>
        <v>7337729.8499999996</v>
      </c>
      <c r="I7" s="3">
        <f>+SUMIFS(ExpenseTable[Amount],ExpenseTable[Paid From],Table410[[#This Row],[Paid From]],ExpenseTable[Mth],5)</f>
        <v>11757557.48</v>
      </c>
      <c r="J7" s="3">
        <f>+SUMIFS(ExpenseTable[Amount],ExpenseTable[Paid From],Table410[[#This Row],[Paid From]],ExpenseTable[Mth],6)</f>
        <v>1008158.22</v>
      </c>
      <c r="K7" s="3">
        <f>+SUMIFS(ExpenseTable[Amount],ExpenseTable[Paid From],Table410[[#This Row],[Paid From]],ExpenseTable[Mth],7)</f>
        <v>5441186.0099999998</v>
      </c>
      <c r="L7" s="3">
        <f>+SUMIFS(ExpenseTable[Amount],ExpenseTable[Paid From],Table410[[#This Row],[Paid From]],ExpenseTable[Mth],8)</f>
        <v>8770898.6199999992</v>
      </c>
      <c r="M7" s="3">
        <f>+SUMIFS(ExpenseTable[Amount],ExpenseTable[Paid From],Table410[[#This Row],[Paid From]],ExpenseTable[Mth],9)</f>
        <v>4363196.0399999991</v>
      </c>
      <c r="N7" s="3">
        <f>+SUMIFS(ExpenseTable[Amount],ExpenseTable[Paid From],Table410[[#This Row],[Paid From]],ExpenseTable[Mth],10)</f>
        <v>15806860.939999999</v>
      </c>
      <c r="O7" s="3">
        <f>+SUMIFS(ExpenseTable[Amount],ExpenseTable[Paid From],Table410[[#This Row],[Paid From]],ExpenseTable[Mth],11)</f>
        <v>2829894.48</v>
      </c>
      <c r="P7" s="3">
        <f>+SUMIFS(ExpenseTable[Amount],ExpenseTable[Paid From],Table410[[#This Row],[Paid From]],ExpenseTable[Mth],12)</f>
        <v>18315185.699999999</v>
      </c>
    </row>
    <row r="8" spans="1:16" ht="18.5" x14ac:dyDescent="0.45">
      <c r="A8" s="1" t="s">
        <v>92</v>
      </c>
      <c r="B8" s="17">
        <f>+RANK(Table410[[#This Row],[Total]],Table410[Total],0)</f>
        <v>4</v>
      </c>
      <c r="C8" s="17">
        <f>+COUNTIF(ExpenseTable[Paid From],Table410[[#This Row],[Paid From]])</f>
        <v>7</v>
      </c>
      <c r="D8" s="4">
        <f>+SUMIF(ExpenseTable[Paid From],Table410[[#This Row],[Paid From]],ExpenseTable[Amount])</f>
        <v>4921500</v>
      </c>
      <c r="E8" s="3">
        <f>+SUMIFS(ExpenseTable[Amount],ExpenseTable[Paid From],Table410[[#This Row],[Paid From]],ExpenseTable[Mth],1)</f>
        <v>0</v>
      </c>
      <c r="F8" s="3">
        <f>+SUMIFS(ExpenseTable[Amount],ExpenseTable[Paid From],Table410[[#This Row],[Paid From]],ExpenseTable[Mth],2)</f>
        <v>0</v>
      </c>
      <c r="G8" s="3">
        <f>+SUMIFS(ExpenseTable[Amount],ExpenseTable[Paid From],Table410[[#This Row],[Paid From]],ExpenseTable[Mth],3)</f>
        <v>0</v>
      </c>
      <c r="H8" s="3">
        <f>+SUMIFS(ExpenseTable[Amount],ExpenseTable[Paid From],Table410[[#This Row],[Paid From]],ExpenseTable[Mth],4)</f>
        <v>0</v>
      </c>
      <c r="I8" s="3">
        <f>+SUMIFS(ExpenseTable[Amount],ExpenseTable[Paid From],Table410[[#This Row],[Paid From]],ExpenseTable[Mth],5)</f>
        <v>4921500</v>
      </c>
      <c r="J8" s="3">
        <f>+SUMIFS(ExpenseTable[Amount],ExpenseTable[Paid From],Table410[[#This Row],[Paid From]],ExpenseTable[Mth],6)</f>
        <v>0</v>
      </c>
      <c r="K8" s="3">
        <f>+SUMIFS(ExpenseTable[Amount],ExpenseTable[Paid From],Table410[[#This Row],[Paid From]],ExpenseTable[Mth],7)</f>
        <v>0</v>
      </c>
      <c r="L8" s="3">
        <f>+SUMIFS(ExpenseTable[Amount],ExpenseTable[Paid From],Table410[[#This Row],[Paid From]],ExpenseTable[Mth],8)</f>
        <v>0</v>
      </c>
      <c r="M8" s="3">
        <f>+SUMIFS(ExpenseTable[Amount],ExpenseTable[Paid From],Table410[[#This Row],[Paid From]],ExpenseTable[Mth],9)</f>
        <v>0</v>
      </c>
      <c r="N8" s="3">
        <f>+SUMIFS(ExpenseTable[Amount],ExpenseTable[Paid From],Table410[[#This Row],[Paid From]],ExpenseTable[Mth],10)</f>
        <v>0</v>
      </c>
      <c r="O8" s="3">
        <f>+SUMIFS(ExpenseTable[Amount],ExpenseTable[Paid From],Table410[[#This Row],[Paid From]],ExpenseTable[Mth],11)</f>
        <v>0</v>
      </c>
      <c r="P8" s="3">
        <f>+SUMIFS(ExpenseTable[Amount],ExpenseTable[Paid From],Table410[[#This Row],[Paid From]],ExpenseTable[Mth],12)</f>
        <v>0</v>
      </c>
    </row>
    <row r="9" spans="1:16" ht="18.5" x14ac:dyDescent="0.45">
      <c r="A9" s="1" t="s">
        <v>95</v>
      </c>
      <c r="B9" s="17">
        <f>+RANK(Table410[[#This Row],[Total]],Table410[Total],0)</f>
        <v>5</v>
      </c>
      <c r="C9" s="17">
        <f>+COUNTIF(ExpenseTable[Paid From],Table410[[#This Row],[Paid From]])</f>
        <v>0</v>
      </c>
      <c r="D9" s="4">
        <f>+SUMIF(ExpenseTable[Paid From],Table410[[#This Row],[Paid From]],ExpenseTable[Amount])</f>
        <v>0</v>
      </c>
      <c r="E9" s="3">
        <f>+SUMIFS(ExpenseTable[Amount],ExpenseTable[Paid From],Table410[[#This Row],[Paid From]],ExpenseTable[Mth],1)</f>
        <v>0</v>
      </c>
      <c r="F9" s="3">
        <f>+SUMIFS(ExpenseTable[Amount],ExpenseTable[Paid From],Table410[[#This Row],[Paid From]],ExpenseTable[Mth],2)</f>
        <v>0</v>
      </c>
      <c r="G9" s="3">
        <f>+SUMIFS(ExpenseTable[Amount],ExpenseTable[Paid From],Table410[[#This Row],[Paid From]],ExpenseTable[Mth],3)</f>
        <v>0</v>
      </c>
      <c r="H9" s="3">
        <f>+SUMIFS(ExpenseTable[Amount],ExpenseTable[Paid From],Table410[[#This Row],[Paid From]],ExpenseTable[Mth],4)</f>
        <v>0</v>
      </c>
      <c r="I9" s="3">
        <f>+SUMIFS(ExpenseTable[Amount],ExpenseTable[Paid From],Table410[[#This Row],[Paid From]],ExpenseTable[Mth],5)</f>
        <v>0</v>
      </c>
      <c r="J9" s="3">
        <f>+SUMIFS(ExpenseTable[Amount],ExpenseTable[Paid From],Table410[[#This Row],[Paid From]],ExpenseTable[Mth],6)</f>
        <v>0</v>
      </c>
      <c r="K9" s="3">
        <f>+SUMIFS(ExpenseTable[Amount],ExpenseTable[Paid From],Table410[[#This Row],[Paid From]],ExpenseTable[Mth],7)</f>
        <v>0</v>
      </c>
      <c r="L9" s="3">
        <f>+SUMIFS(ExpenseTable[Amount],ExpenseTable[Paid From],Table410[[#This Row],[Paid From]],ExpenseTable[Mth],8)</f>
        <v>0</v>
      </c>
      <c r="M9" s="3">
        <f>+SUMIFS(ExpenseTable[Amount],ExpenseTable[Paid From],Table410[[#This Row],[Paid From]],ExpenseTable[Mth],9)</f>
        <v>0</v>
      </c>
      <c r="N9" s="3">
        <f>+SUMIFS(ExpenseTable[Amount],ExpenseTable[Paid From],Table410[[#This Row],[Paid From]],ExpenseTable[Mth],10)</f>
        <v>0</v>
      </c>
      <c r="O9" s="3">
        <f>+SUMIFS(ExpenseTable[Amount],ExpenseTable[Paid From],Table410[[#This Row],[Paid From]],ExpenseTable[Mth],11)</f>
        <v>0</v>
      </c>
      <c r="P9" s="3">
        <f>+SUMIFS(ExpenseTable[Amount],ExpenseTable[Paid From],Table410[[#This Row],[Paid From]],ExpenseTable[Mth],12)</f>
        <v>0</v>
      </c>
    </row>
    <row r="10" spans="1:16" ht="18.5" x14ac:dyDescent="0.45">
      <c r="A10" s="1" t="s">
        <v>58</v>
      </c>
      <c r="B10" s="17"/>
      <c r="C10" s="18">
        <f>SUBTOTAL(109,Table410[No. of Trans])</f>
        <v>1012</v>
      </c>
      <c r="D10" s="10">
        <f>SUBTOTAL(109,Table410[Total])</f>
        <v>139422396.39999992</v>
      </c>
      <c r="E10" s="10">
        <f>SUBTOTAL(109,Table410[Jan])</f>
        <v>6695737.4499999993</v>
      </c>
      <c r="F10" s="10">
        <f>SUBTOTAL(109,Table410[Feb])</f>
        <v>5293287.97</v>
      </c>
      <c r="G10" s="10">
        <f>SUBTOTAL(109,Table410[Mar])</f>
        <v>13272112.890000001</v>
      </c>
      <c r="H10" s="10">
        <f>SUBTOTAL(109,Table410[Apr])</f>
        <v>14449346.85</v>
      </c>
      <c r="I10" s="10">
        <f>SUBTOTAL(109,Table410[May])</f>
        <v>26816083.449999999</v>
      </c>
      <c r="J10" s="10">
        <f>SUBTOTAL(109,Table410[Jun])</f>
        <v>2573405.4699999997</v>
      </c>
      <c r="K10" s="10">
        <f>SUBTOTAL(109,Table410[Jul])</f>
        <v>8301546.0099999998</v>
      </c>
      <c r="L10" s="10">
        <f>SUBTOTAL(109,Table410[Aug])</f>
        <v>12256998.619999999</v>
      </c>
      <c r="M10" s="10">
        <f>SUBTOTAL(109,Table410[Sep])</f>
        <v>6025743.0999999996</v>
      </c>
      <c r="N10" s="10">
        <f>SUBTOTAL(109,Table410[Oct])</f>
        <v>18594713.73</v>
      </c>
      <c r="O10" s="10">
        <f>SUBTOTAL(109,Table410[Nov])</f>
        <v>5909234.4800000004</v>
      </c>
      <c r="P10" s="10">
        <f>SUBTOTAL(109,Table410[Dec])</f>
        <v>19234186.379999999</v>
      </c>
    </row>
  </sheetData>
  <pageMargins left="0.25" right="0.25" top="0.75" bottom="0.75" header="0.3" footer="0.3"/>
  <pageSetup paperSize="9" scale="86" fitToWidth="0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60326-CA92-4DFF-956D-FCC447234D59}">
  <sheetPr codeName="Sheet6">
    <pageSetUpPr fitToPage="1"/>
  </sheetPr>
  <dimension ref="A1:P10"/>
  <sheetViews>
    <sheetView zoomScale="98" zoomScaleNormal="98" workbookViewId="0">
      <selection activeCell="N1" sqref="N1:N1048576"/>
    </sheetView>
  </sheetViews>
  <sheetFormatPr defaultRowHeight="14.5" x14ac:dyDescent="0.35"/>
  <cols>
    <col min="1" max="1" width="30.54296875" bestFit="1" customWidth="1"/>
    <col min="2" max="2" width="11.54296875" style="9" bestFit="1" customWidth="1"/>
    <col min="3" max="3" width="19.26953125" style="9" bestFit="1" customWidth="1"/>
    <col min="4" max="4" width="19.7265625" style="6" bestFit="1" customWidth="1"/>
    <col min="5" max="5" width="18.453125" style="6" bestFit="1" customWidth="1"/>
    <col min="6" max="6" width="16.81640625" style="6" bestFit="1" customWidth="1"/>
    <col min="7" max="9" width="18.453125" style="6" bestFit="1" customWidth="1"/>
    <col min="10" max="10" width="16.81640625" style="6" bestFit="1" customWidth="1"/>
    <col min="11" max="11" width="18.453125" style="6" bestFit="1" customWidth="1"/>
    <col min="12" max="12" width="20.36328125" style="6" customWidth="1"/>
    <col min="13" max="13" width="19.26953125" style="6" customWidth="1"/>
    <col min="14" max="14" width="17" style="6" customWidth="1"/>
    <col min="15" max="15" width="9.54296875" style="6" bestFit="1" customWidth="1"/>
    <col min="16" max="16" width="9.453125" style="6" bestFit="1" customWidth="1"/>
  </cols>
  <sheetData>
    <row r="1" spans="1:16" ht="18.5" x14ac:dyDescent="0.45">
      <c r="A1" s="2" t="s">
        <v>75</v>
      </c>
      <c r="B1" s="16" t="s">
        <v>60</v>
      </c>
      <c r="C1" s="16" t="s">
        <v>52</v>
      </c>
      <c r="D1" s="3" t="s">
        <v>51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</row>
    <row r="2" spans="1:16" ht="18.5" x14ac:dyDescent="0.45">
      <c r="A2" s="1" t="str">
        <f>+IF(Clients[[#This Row],[Clients]]="","",Clients[[#This Row],[Clients]])</f>
        <v>Dcel</v>
      </c>
      <c r="B2" s="17">
        <f>+RANK(Table41014[[#This Row],[Total]],Table41014[Total],0)</f>
        <v>1</v>
      </c>
      <c r="C2" s="17">
        <f>+COUNTIF(ExpenseTable[Client],Table41014[[#This Row],[Clients]])</f>
        <v>1043</v>
      </c>
      <c r="D2" s="4">
        <f>+SUMIF(ExpenseTable[Client],Table41014[[#This Row],[Clients]],ExpenseTable[Amount])</f>
        <v>138781554.72</v>
      </c>
      <c r="E2" s="3">
        <f>+SUMIFS(ExpenseTable[Amount],ExpenseTable[Client],Table41014[[#This Row],[Clients]],ExpenseTable[Mth],1)</f>
        <v>8003458.4499999993</v>
      </c>
      <c r="F2" s="3">
        <f>+SUMIFS(ExpenseTable[Amount],ExpenseTable[Client],Table41014[[#This Row],[Clients]],ExpenseTable[Mth],2)</f>
        <v>5879508.9699999997</v>
      </c>
      <c r="G2" s="3">
        <f>+SUMIFS(ExpenseTable[Amount],ExpenseTable[Client],Table41014[[#This Row],[Clients]],ExpenseTable[Mth],3)</f>
        <v>18316650.149999999</v>
      </c>
      <c r="H2" s="3">
        <f>+SUMIFS(ExpenseTable[Amount],ExpenseTable[Client],Table41014[[#This Row],[Clients]],ExpenseTable[Mth],4)</f>
        <v>16952746.849999998</v>
      </c>
      <c r="I2" s="3">
        <f>+SUMIFS(ExpenseTable[Amount],ExpenseTable[Paid From],Table41014[[#This Row],[Clients]],ExpenseTable[Mth],5)</f>
        <v>0</v>
      </c>
      <c r="J2" s="3">
        <f>+SUMIFS(ExpenseTable[Amount],ExpenseTable[Client],Table41014[[#This Row],[Clients]],ExpenseTable[Mth],6)</f>
        <v>3428105.4699999997</v>
      </c>
      <c r="K2" s="3">
        <f>+SUMIFS(ExpenseTable[Amount],ExpenseTable[Client],Table41014[[#This Row],[Clients]],ExpenseTable[Mth],7)</f>
        <v>8064555.71</v>
      </c>
      <c r="L2" s="3">
        <f>+SUMIFS(ExpenseTable[Amount],ExpenseTable[Client],Table41014[[#This Row],[Clients]],ExpenseTable[Mth],8)</f>
        <v>6020529.21</v>
      </c>
      <c r="M2" s="3">
        <f>+SUMIFS(ExpenseTable[Amount],ExpenseTable[Client],Table41014[[#This Row],[Clients]],ExpenseTable[Mth],9)</f>
        <v>3664956.7800000003</v>
      </c>
      <c r="N2" s="3">
        <f>+SUMIFS(ExpenseTable[Amount],ExpenseTable[Client],Table41014[[#This Row],[Clients]],ExpenseTable[Mth],10)</f>
        <v>18565413.73</v>
      </c>
      <c r="O2" s="3">
        <f>+SUMIFS(ExpenseTable[Amount],ExpenseTable[Client],Table41014[[#This Row],[Clients]],ExpenseTable[Mth],11)</f>
        <v>5385016.7800000003</v>
      </c>
      <c r="P2" s="3">
        <f>+SUMIFS(ExpenseTable[Amount],ExpenseTable[Client],Table41014[[#This Row],[Clients]],ExpenseTable[Mth],12)</f>
        <v>23090139.379999999</v>
      </c>
    </row>
    <row r="3" spans="1:16" ht="18.5" x14ac:dyDescent="0.45">
      <c r="A3" s="1" t="str">
        <f>+IF(Clients[[#This Row],[Clients]]="","",Clients[[#This Row],[Clients]])</f>
        <v>Elfad</v>
      </c>
      <c r="B3" s="17">
        <f>+RANK(Table41014[[#This Row],[Total]],Table41014[Total],0)</f>
        <v>6</v>
      </c>
      <c r="C3" s="17">
        <f>+COUNTIF(ExpenseTable[Client],Table41014[[#This Row],[Clients]])</f>
        <v>10</v>
      </c>
      <c r="D3" s="4">
        <f>+SUMIF(ExpenseTable[Client],Table41014[[#This Row],[Clients]],ExpenseTable[Amount])</f>
        <v>105300</v>
      </c>
      <c r="E3" s="3">
        <f>+SUMIFS(ExpenseTable[Amount],ExpenseTable[Client],Table41014[[#This Row],[Clients]],ExpenseTable[Mth],1)</f>
        <v>12600</v>
      </c>
      <c r="F3" s="3">
        <f>+SUMIFS(ExpenseTable[Amount],ExpenseTable[Client],Table41014[[#This Row],[Clients]],ExpenseTable[Mth],2)</f>
        <v>68300</v>
      </c>
      <c r="G3" s="3">
        <f>+SUMIFS(ExpenseTable[Amount],ExpenseTable[Client],Table41014[[#This Row],[Clients]],ExpenseTable[Mth],3)</f>
        <v>0</v>
      </c>
      <c r="H3" s="3">
        <f>+SUMIFS(ExpenseTable[Amount],ExpenseTable[Client],Table41014[[#This Row],[Clients]],ExpenseTable[Mth],4)</f>
        <v>0</v>
      </c>
      <c r="I3" s="3">
        <f>+SUMIFS(ExpenseTable[Amount],ExpenseTable[Paid From],Table41014[[#This Row],[Clients]],ExpenseTable[Mth],5)</f>
        <v>0</v>
      </c>
      <c r="J3" s="3">
        <f>+SUMIFS(ExpenseTable[Amount],ExpenseTable[Client],Table41014[[#This Row],[Clients]],ExpenseTable[Mth],6)</f>
        <v>0</v>
      </c>
      <c r="K3" s="3">
        <f>+SUMIFS(ExpenseTable[Amount],ExpenseTable[Client],Table41014[[#This Row],[Clients]],ExpenseTable[Mth],7)</f>
        <v>0</v>
      </c>
      <c r="L3" s="3">
        <f>+SUMIFS(ExpenseTable[Amount],ExpenseTable[Client],Table41014[[#This Row],[Clients]],ExpenseTable[Mth],8)</f>
        <v>0</v>
      </c>
      <c r="M3" s="3">
        <f>+SUMIFS(ExpenseTable[Amount],ExpenseTable[Client],Table41014[[#This Row],[Clients]],ExpenseTable[Mth],9)</f>
        <v>0</v>
      </c>
      <c r="N3" s="3">
        <f>+SUMIFS(ExpenseTable[Amount],ExpenseTable[Client],Table41014[[#This Row],[Clients]],ExpenseTable[Mth],10)</f>
        <v>12200</v>
      </c>
      <c r="O3" s="3">
        <f>+SUMIFS(ExpenseTable[Amount],ExpenseTable[Client],Table41014[[#This Row],[Clients]],ExpenseTable[Mth],11)</f>
        <v>12200</v>
      </c>
      <c r="P3" s="3">
        <f>+SUMIFS(ExpenseTable[Amount],ExpenseTable[Client],Table41014[[#This Row],[Clients]],ExpenseTable[Mth],12)</f>
        <v>0</v>
      </c>
    </row>
    <row r="4" spans="1:16" ht="18.5" x14ac:dyDescent="0.45">
      <c r="A4" s="1" t="str">
        <f>+IF(Clients[[#This Row],[Clients]]="","",Clients[[#This Row],[Clients]])</f>
        <v>First Bank</v>
      </c>
      <c r="B4" s="17">
        <f>+RANK(Table41014[[#This Row],[Total]],Table41014[Total],0)</f>
        <v>2</v>
      </c>
      <c r="C4" s="17">
        <f>+COUNTIF(ExpenseTable[Client],Table41014[[#This Row],[Clients]])</f>
        <v>90</v>
      </c>
      <c r="D4" s="4">
        <f>+SUMIF(ExpenseTable[Client],Table41014[[#This Row],[Clients]],ExpenseTable[Amount])</f>
        <v>16624390.790000001</v>
      </c>
      <c r="E4" s="3">
        <f>+SUMIFS(ExpenseTable[Amount],ExpenseTable[Client],Table41014[[#This Row],[Clients]],ExpenseTable[Mth],1)</f>
        <v>0</v>
      </c>
      <c r="F4" s="3">
        <f>+SUMIFS(ExpenseTable[Amount],ExpenseTable[Client],Table41014[[#This Row],[Clients]],ExpenseTable[Mth],2)</f>
        <v>50000</v>
      </c>
      <c r="G4" s="3">
        <f>+SUMIFS(ExpenseTable[Amount],ExpenseTable[Client],Table41014[[#This Row],[Clients]],ExpenseTable[Mth],3)</f>
        <v>346377.74</v>
      </c>
      <c r="H4" s="3">
        <f>+SUMIFS(ExpenseTable[Amount],ExpenseTable[Client],Table41014[[#This Row],[Clients]],ExpenseTable[Mth],4)</f>
        <v>763500</v>
      </c>
      <c r="I4" s="3">
        <f>+SUMIFS(ExpenseTable[Amount],ExpenseTable[Paid From],Table41014[[#This Row],[Clients]],ExpenseTable[Mth],5)</f>
        <v>5910000</v>
      </c>
      <c r="J4" s="3">
        <f>+SUMIFS(ExpenseTable[Amount],ExpenseTable[Client],Table41014[[#This Row],[Clients]],ExpenseTable[Mth],6)</f>
        <v>1080400</v>
      </c>
      <c r="K4" s="3">
        <f>+SUMIFS(ExpenseTable[Amount],ExpenseTable[Client],Table41014[[#This Row],[Clients]],ExpenseTable[Mth],7)</f>
        <v>2698502.31</v>
      </c>
      <c r="L4" s="3">
        <f>+SUMIFS(ExpenseTable[Amount],ExpenseTable[Client],Table41014[[#This Row],[Clients]],ExpenseTable[Mth],8)</f>
        <v>3264047.18</v>
      </c>
      <c r="M4" s="3">
        <f>+SUMIFS(ExpenseTable[Amount],ExpenseTable[Client],Table41014[[#This Row],[Clients]],ExpenseTable[Mth],9)</f>
        <v>671271.25</v>
      </c>
      <c r="N4" s="3">
        <f>+SUMIFS(ExpenseTable[Amount],ExpenseTable[Client],Table41014[[#This Row],[Clients]],ExpenseTable[Mth],10)</f>
        <v>11400</v>
      </c>
      <c r="O4" s="3">
        <f>+SUMIFS(ExpenseTable[Amount],ExpenseTable[Client],Table41014[[#This Row],[Clients]],ExpenseTable[Mth],11)</f>
        <v>0</v>
      </c>
      <c r="P4" s="3">
        <f>+SUMIFS(ExpenseTable[Amount],ExpenseTable[Client],Table41014[[#This Row],[Clients]],ExpenseTable[Mth],12)</f>
        <v>0</v>
      </c>
    </row>
    <row r="5" spans="1:16" ht="18.5" x14ac:dyDescent="0.45">
      <c r="A5" s="1" t="str">
        <f>+IF(Clients[[#This Row],[Clients]]="","",Clients[[#This Row],[Clients]])</f>
        <v>ITB</v>
      </c>
      <c r="B5" s="17">
        <f>+RANK(Table41014[[#This Row],[Total]],Table41014[Total],0)</f>
        <v>5</v>
      </c>
      <c r="C5" s="17">
        <f>+COUNTIF(ExpenseTable[Client],Table41014[[#This Row],[Clients]])</f>
        <v>8</v>
      </c>
      <c r="D5" s="4">
        <f>+SUMIF(ExpenseTable[Client],Table41014[[#This Row],[Clients]],ExpenseTable[Amount])</f>
        <v>249768.62999999998</v>
      </c>
      <c r="E5" s="3">
        <f>+SUMIFS(ExpenseTable[Amount],ExpenseTable[Client],Table41014[[#This Row],[Clients]],ExpenseTable[Mth],1)</f>
        <v>0</v>
      </c>
      <c r="F5" s="3">
        <f>+SUMIFS(ExpenseTable[Amount],ExpenseTable[Client],Table41014[[#This Row],[Clients]],ExpenseTable[Mth],2)</f>
        <v>0</v>
      </c>
      <c r="G5" s="3">
        <f>+SUMIFS(ExpenseTable[Amount],ExpenseTable[Client],Table41014[[#This Row],[Clients]],ExpenseTable[Mth],3)</f>
        <v>0</v>
      </c>
      <c r="H5" s="3">
        <f>+SUMIFS(ExpenseTable[Amount],ExpenseTable[Client],Table41014[[#This Row],[Clients]],ExpenseTable[Mth],4)</f>
        <v>0</v>
      </c>
      <c r="I5" s="3">
        <f>+SUMIFS(ExpenseTable[Amount],ExpenseTable[Paid From],Table41014[[#This Row],[Clients]],ExpenseTable[Mth],5)</f>
        <v>0</v>
      </c>
      <c r="J5" s="3">
        <f>+SUMIFS(ExpenseTable[Amount],ExpenseTable[Client],Table41014[[#This Row],[Clients]],ExpenseTable[Mth],6)</f>
        <v>0</v>
      </c>
      <c r="K5" s="3">
        <f>+SUMIFS(ExpenseTable[Amount],ExpenseTable[Client],Table41014[[#This Row],[Clients]],ExpenseTable[Mth],7)</f>
        <v>0</v>
      </c>
      <c r="L5" s="3">
        <f>+SUMIFS(ExpenseTable[Amount],ExpenseTable[Client],Table41014[[#This Row],[Clients]],ExpenseTable[Mth],8)</f>
        <v>0</v>
      </c>
      <c r="M5" s="3">
        <f>+SUMIFS(ExpenseTable[Amount],ExpenseTable[Client],Table41014[[#This Row],[Clients]],ExpenseTable[Mth],9)</f>
        <v>172653.22999999998</v>
      </c>
      <c r="N5" s="3">
        <f>+SUMIFS(ExpenseTable[Amount],ExpenseTable[Client],Table41014[[#This Row],[Clients]],ExpenseTable[Mth],10)</f>
        <v>10000</v>
      </c>
      <c r="O5" s="3">
        <f>+SUMIFS(ExpenseTable[Amount],ExpenseTable[Client],Table41014[[#This Row],[Clients]],ExpenseTable[Mth],11)</f>
        <v>61115.4</v>
      </c>
      <c r="P5" s="3">
        <f>+SUMIFS(ExpenseTable[Amount],ExpenseTable[Client],Table41014[[#This Row],[Clients]],ExpenseTable[Mth],12)</f>
        <v>6000</v>
      </c>
    </row>
    <row r="6" spans="1:16" ht="18.5" x14ac:dyDescent="0.45">
      <c r="A6" s="1" t="str">
        <f>+IF(Clients[[#This Row],[Clients]]="","",Clients[[#This Row],[Clients]])</f>
        <v>Levitikal</v>
      </c>
      <c r="B6" s="17">
        <f>+RANK(Table41014[[#This Row],[Total]],Table41014[Total],0)</f>
        <v>7</v>
      </c>
      <c r="C6" s="17">
        <f>+COUNTIF(ExpenseTable[Client],Table41014[[#This Row],[Clients]])</f>
        <v>3</v>
      </c>
      <c r="D6" s="4">
        <f>+SUMIF(ExpenseTable[Client],Table41014[[#This Row],[Clients]],ExpenseTable[Amount])</f>
        <v>11000</v>
      </c>
      <c r="E6" s="3">
        <f>+SUMIFS(ExpenseTable[Amount],ExpenseTable[Client],Table41014[[#This Row],[Clients]],ExpenseTable[Mth],1)</f>
        <v>0</v>
      </c>
      <c r="F6" s="3">
        <f>+SUMIFS(ExpenseTable[Amount],ExpenseTable[Client],Table41014[[#This Row],[Clients]],ExpenseTable[Mth],2)</f>
        <v>0</v>
      </c>
      <c r="G6" s="3">
        <f>+SUMIFS(ExpenseTable[Amount],ExpenseTable[Client],Table41014[[#This Row],[Clients]],ExpenseTable[Mth],3)</f>
        <v>0</v>
      </c>
      <c r="H6" s="3">
        <f>+SUMIFS(ExpenseTable[Amount],ExpenseTable[Client],Table41014[[#This Row],[Clients]],ExpenseTable[Mth],4)</f>
        <v>0</v>
      </c>
      <c r="I6" s="3">
        <f>+SUMIFS(ExpenseTable[Amount],ExpenseTable[Paid From],Table41014[[#This Row],[Clients]],ExpenseTable[Mth],5)</f>
        <v>0</v>
      </c>
      <c r="J6" s="3">
        <f>+SUMIFS(ExpenseTable[Amount],ExpenseTable[Client],Table41014[[#This Row],[Clients]],ExpenseTable[Mth],6)</f>
        <v>0</v>
      </c>
      <c r="K6" s="3">
        <f>+SUMIFS(ExpenseTable[Amount],ExpenseTable[Client],Table41014[[#This Row],[Clients]],ExpenseTable[Mth],7)</f>
        <v>11000</v>
      </c>
      <c r="L6" s="3">
        <f>+SUMIFS(ExpenseTable[Amount],ExpenseTable[Client],Table41014[[#This Row],[Clients]],ExpenseTable[Mth],8)</f>
        <v>0</v>
      </c>
      <c r="M6" s="3">
        <f>+SUMIFS(ExpenseTable[Amount],ExpenseTable[Client],Table41014[[#This Row],[Clients]],ExpenseTable[Mth],9)</f>
        <v>0</v>
      </c>
      <c r="N6" s="3">
        <f>+SUMIFS(ExpenseTable[Amount],ExpenseTable[Client],Table41014[[#This Row],[Clients]],ExpenseTable[Mth],10)</f>
        <v>0</v>
      </c>
      <c r="O6" s="3">
        <f>+SUMIFS(ExpenseTable[Amount],ExpenseTable[Client],Table41014[[#This Row],[Clients]],ExpenseTable[Mth],11)</f>
        <v>0</v>
      </c>
      <c r="P6" s="3">
        <f>+SUMIFS(ExpenseTable[Amount],ExpenseTable[Client],Table41014[[#This Row],[Clients]],ExpenseTable[Mth],12)</f>
        <v>0</v>
      </c>
    </row>
    <row r="7" spans="1:16" ht="18.5" x14ac:dyDescent="0.45">
      <c r="A7" s="1" t="str">
        <f>+IF(Clients[[#This Row],[Clients]]="","",Clients[[#This Row],[Clients]])</f>
        <v>MC&amp;T</v>
      </c>
      <c r="B7" s="17">
        <f>+RANK(Table41014[[#This Row],[Total]],Table41014[Total],0)</f>
        <v>4</v>
      </c>
      <c r="C7" s="17">
        <f>+COUNTIF(ExpenseTable[Client],Table41014[[#This Row],[Clients]])</f>
        <v>61</v>
      </c>
      <c r="D7" s="4">
        <f>+SUMIF(ExpenseTable[Client],Table41014[[#This Row],[Clients]],ExpenseTable[Amount])</f>
        <v>2068150</v>
      </c>
      <c r="E7" s="3">
        <f>+SUMIFS(ExpenseTable[Amount],ExpenseTable[Client],Table41014[[#This Row],[Clients]],ExpenseTable[Mth],1)</f>
        <v>1076900</v>
      </c>
      <c r="F7" s="3">
        <f>+SUMIFS(ExpenseTable[Amount],ExpenseTable[Client],Table41014[[#This Row],[Clients]],ExpenseTable[Mth],2)</f>
        <v>72400</v>
      </c>
      <c r="G7" s="3">
        <f>+SUMIFS(ExpenseTable[Amount],ExpenseTable[Client],Table41014[[#This Row],[Clients]],ExpenseTable[Mth],3)</f>
        <v>913950</v>
      </c>
      <c r="H7" s="3">
        <f>+SUMIFS(ExpenseTable[Amount],ExpenseTable[Client],Table41014[[#This Row],[Clients]],ExpenseTable[Mth],4)</f>
        <v>4900</v>
      </c>
      <c r="I7" s="3">
        <f>+SUMIFS(ExpenseTable[Amount],ExpenseTable[Paid From],Table41014[[#This Row],[Clients]],ExpenseTable[Mth],5)</f>
        <v>0</v>
      </c>
      <c r="J7" s="3">
        <f>+SUMIFS(ExpenseTable[Amount],ExpenseTable[Client],Table41014[[#This Row],[Clients]],ExpenseTable[Mth],6)</f>
        <v>0</v>
      </c>
      <c r="K7" s="3">
        <f>+SUMIFS(ExpenseTable[Amount],ExpenseTable[Client],Table41014[[#This Row],[Clients]],ExpenseTable[Mth],7)</f>
        <v>0</v>
      </c>
      <c r="L7" s="3">
        <f>+SUMIFS(ExpenseTable[Amount],ExpenseTable[Client],Table41014[[#This Row],[Clients]],ExpenseTable[Mth],8)</f>
        <v>0</v>
      </c>
      <c r="M7" s="3">
        <f>+SUMIFS(ExpenseTable[Amount],ExpenseTable[Client],Table41014[[#This Row],[Clients]],ExpenseTable[Mth],9)</f>
        <v>0</v>
      </c>
      <c r="N7" s="3">
        <f>+SUMIFS(ExpenseTable[Amount],ExpenseTable[Client],Table41014[[#This Row],[Clients]],ExpenseTable[Mth],10)</f>
        <v>0</v>
      </c>
      <c r="O7" s="3">
        <f>+SUMIFS(ExpenseTable[Amount],ExpenseTable[Client],Table41014[[#This Row],[Clients]],ExpenseTable[Mth],11)</f>
        <v>0</v>
      </c>
      <c r="P7" s="3">
        <f>+SUMIFS(ExpenseTable[Amount],ExpenseTable[Client],Table41014[[#This Row],[Clients]],ExpenseTable[Mth],12)</f>
        <v>0</v>
      </c>
    </row>
    <row r="8" spans="1:16" ht="18.5" x14ac:dyDescent="0.45">
      <c r="A8" s="1" t="str">
        <f>+IF(Clients[[#This Row],[Clients]]="","",Clients[[#This Row],[Clients]])</f>
        <v>Nidaco</v>
      </c>
      <c r="B8" s="17">
        <f>+RANK(Table41014[[#This Row],[Total]],Table41014[Total],0)</f>
        <v>3</v>
      </c>
      <c r="C8" s="17">
        <f>+COUNTIF(ExpenseTable[Client],Table41014[[#This Row],[Clients]])</f>
        <v>17</v>
      </c>
      <c r="D8" s="4">
        <f>+SUMIF(ExpenseTable[Client],Table41014[[#This Row],[Clients]],ExpenseTable[Amount])</f>
        <v>2212800</v>
      </c>
      <c r="E8" s="3">
        <f>+SUMIFS(ExpenseTable[Amount],ExpenseTable[Client],Table41014[[#This Row],[Clients]],ExpenseTable[Mth],1)</f>
        <v>0</v>
      </c>
      <c r="F8" s="3">
        <f>+SUMIFS(ExpenseTable[Amount],ExpenseTable[Client],Table41014[[#This Row],[Clients]],ExpenseTable[Mth],2)</f>
        <v>0</v>
      </c>
      <c r="G8" s="3">
        <f>+SUMIFS(ExpenseTable[Amount],ExpenseTable[Client],Table41014[[#This Row],[Clients]],ExpenseTable[Mth],3)</f>
        <v>0</v>
      </c>
      <c r="H8" s="3">
        <f>+SUMIFS(ExpenseTable[Amount],ExpenseTable[Client],Table41014[[#This Row],[Clients]],ExpenseTable[Mth],4)</f>
        <v>0</v>
      </c>
      <c r="I8" s="3">
        <f>+SUMIFS(ExpenseTable[Amount],ExpenseTable[Paid From],Table41014[[#This Row],[Clients]],ExpenseTable[Mth],5)</f>
        <v>0</v>
      </c>
      <c r="J8" s="3">
        <f>+SUMIFS(ExpenseTable[Amount],ExpenseTable[Client],Table41014[[#This Row],[Clients]],ExpenseTable[Mth],6)</f>
        <v>0</v>
      </c>
      <c r="K8" s="3">
        <f>+SUMIFS(ExpenseTable[Amount],ExpenseTable[Client],Table41014[[#This Row],[Clients]],ExpenseTable[Mth],7)</f>
        <v>4000</v>
      </c>
      <c r="L8" s="3">
        <f>+SUMIFS(ExpenseTable[Amount],ExpenseTable[Client],Table41014[[#This Row],[Clients]],ExpenseTable[Mth],8)</f>
        <v>2208800</v>
      </c>
      <c r="M8" s="3">
        <f>+SUMIFS(ExpenseTable[Amount],ExpenseTable[Client],Table41014[[#This Row],[Clients]],ExpenseTable[Mth],9)</f>
        <v>0</v>
      </c>
      <c r="N8" s="3">
        <f>+SUMIFS(ExpenseTable[Amount],ExpenseTable[Client],Table41014[[#This Row],[Clients]],ExpenseTable[Mth],10)</f>
        <v>0</v>
      </c>
      <c r="O8" s="3">
        <f>+SUMIFS(ExpenseTable[Amount],ExpenseTable[Client],Table41014[[#This Row],[Clients]],ExpenseTable[Mth],11)</f>
        <v>0</v>
      </c>
      <c r="P8" s="3">
        <f>+SUMIFS(ExpenseTable[Amount],ExpenseTable[Client],Table41014[[#This Row],[Clients]],ExpenseTable[Mth],12)</f>
        <v>0</v>
      </c>
    </row>
    <row r="9" spans="1:16" ht="18.5" x14ac:dyDescent="0.45">
      <c r="A9" s="1" t="str">
        <f>+IF(Clients[[#This Row],[Clients]]="","",Clients[[#This Row],[Clients]])</f>
        <v>Onigbanjo</v>
      </c>
      <c r="B9" s="17">
        <f>+RANK(Table41014[[#This Row],[Total]],Table41014[Total],0)</f>
        <v>8</v>
      </c>
      <c r="C9" s="17">
        <f>+COUNTIF(ExpenseTable[Client],Table41014[[#This Row],[Clients]])</f>
        <v>1</v>
      </c>
      <c r="D9" s="4">
        <f>+SUMIF(ExpenseTable[Client],Table41014[[#This Row],[Clients]],ExpenseTable[Amount])</f>
        <v>5000</v>
      </c>
      <c r="E9" s="3">
        <f>+SUMIFS(ExpenseTable[Amount],ExpenseTable[Client],Table41014[[#This Row],[Clients]],ExpenseTable[Mth],1)</f>
        <v>0</v>
      </c>
      <c r="F9" s="3">
        <f>+SUMIFS(ExpenseTable[Amount],ExpenseTable[Client],Table41014[[#This Row],[Clients]],ExpenseTable[Mth],2)</f>
        <v>0</v>
      </c>
      <c r="G9" s="3">
        <f>+SUMIFS(ExpenseTable[Amount],ExpenseTable[Client],Table41014[[#This Row],[Clients]],ExpenseTable[Mth],3)</f>
        <v>0</v>
      </c>
      <c r="H9" s="3">
        <f>+SUMIFS(ExpenseTable[Amount],ExpenseTable[Client],Table41014[[#This Row],[Clients]],ExpenseTable[Mth],4)</f>
        <v>0</v>
      </c>
      <c r="I9" s="3">
        <f>+SUMIFS(ExpenseTable[Amount],ExpenseTable[Paid From],Table41014[[#This Row],[Clients]],ExpenseTable[Mth],5)</f>
        <v>0</v>
      </c>
      <c r="J9" s="3">
        <f>+SUMIFS(ExpenseTable[Amount],ExpenseTable[Client],Table41014[[#This Row],[Clients]],ExpenseTable[Mth],6)</f>
        <v>0</v>
      </c>
      <c r="K9" s="3">
        <f>+SUMIFS(ExpenseTable[Amount],ExpenseTable[Client],Table41014[[#This Row],[Clients]],ExpenseTable[Mth],7)</f>
        <v>0</v>
      </c>
      <c r="L9" s="3">
        <f>+SUMIFS(ExpenseTable[Amount],ExpenseTable[Client],Table41014[[#This Row],[Clients]],ExpenseTable[Mth],8)</f>
        <v>0</v>
      </c>
      <c r="M9" s="3">
        <f>+SUMIFS(ExpenseTable[Amount],ExpenseTable[Client],Table41014[[#This Row],[Clients]],ExpenseTable[Mth],9)</f>
        <v>0</v>
      </c>
      <c r="N9" s="3">
        <f>+SUMIFS(ExpenseTable[Amount],ExpenseTable[Client],Table41014[[#This Row],[Clients]],ExpenseTable[Mth],10)</f>
        <v>0</v>
      </c>
      <c r="O9" s="3">
        <f>+SUMIFS(ExpenseTable[Amount],ExpenseTable[Client],Table41014[[#This Row],[Clients]],ExpenseTable[Mth],11)</f>
        <v>0</v>
      </c>
      <c r="P9" s="3">
        <f>+SUMIFS(ExpenseTable[Amount],ExpenseTable[Client],Table41014[[#This Row],[Clients]],ExpenseTable[Mth],12)</f>
        <v>5000</v>
      </c>
    </row>
    <row r="10" spans="1:16" ht="18.5" x14ac:dyDescent="0.45">
      <c r="A10" s="1" t="s">
        <v>58</v>
      </c>
      <c r="B10" s="17"/>
      <c r="C10" s="18">
        <f>SUBTOTAL(109,Table41014[No. of Trans])</f>
        <v>1233</v>
      </c>
      <c r="D10" s="10">
        <f>SUBTOTAL(109,Table41014[Total])</f>
        <v>160057964.13999999</v>
      </c>
      <c r="E10" s="10">
        <f>SUBTOTAL(109,Table41014[Jan])</f>
        <v>9092958.4499999993</v>
      </c>
      <c r="F10" s="10">
        <f>SUBTOTAL(109,Table41014[Feb])</f>
        <v>6070208.9699999997</v>
      </c>
      <c r="G10" s="10">
        <f>SUBTOTAL(109,Table41014[Mar])</f>
        <v>19576977.889999997</v>
      </c>
      <c r="H10" s="10">
        <f>SUBTOTAL(109,Table41014[Apr])</f>
        <v>17721146.849999998</v>
      </c>
      <c r="I10" s="10">
        <f>SUBTOTAL(109,Table41014[May])</f>
        <v>5910000</v>
      </c>
      <c r="J10" s="10">
        <f>SUBTOTAL(109,Table41014[Jun])</f>
        <v>4508505.47</v>
      </c>
      <c r="K10" s="10">
        <f>SUBTOTAL(109,Table41014[Jul])</f>
        <v>10778058.02</v>
      </c>
      <c r="L10" s="10">
        <f>SUBTOTAL(109,Table41014[Aug])</f>
        <v>11493376.390000001</v>
      </c>
      <c r="M10" s="10">
        <f>SUBTOTAL(109,Table41014[Sep])</f>
        <v>4508881.26</v>
      </c>
      <c r="N10" s="10">
        <f>SUBTOTAL(109,Table41014[Oct])</f>
        <v>18599013.73</v>
      </c>
      <c r="O10" s="10">
        <f>SUBTOTAL(109,Table41014[Nov])</f>
        <v>5458332.1800000006</v>
      </c>
      <c r="P10" s="10">
        <f>SUBTOTAL(109,Table41014[Dec])</f>
        <v>23101139.379999999</v>
      </c>
    </row>
  </sheetData>
  <pageMargins left="0.25" right="0.25" top="0.75" bottom="0.75" header="0.3" footer="0.3"/>
  <pageSetup paperSize="9" scale="86" fitToWidth="0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83AB03-FE7D-4E00-B846-50D80E6E33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Entry</vt:lpstr>
      <vt:lpstr>Expense Record</vt:lpstr>
      <vt:lpstr>Variables</vt:lpstr>
      <vt:lpstr>Summary of Expenses Category</vt:lpstr>
      <vt:lpstr>Summary Expenses Paid From</vt:lpstr>
      <vt:lpstr>Clients Summary</vt:lpstr>
      <vt:lpstr>Dcel</vt:lpstr>
      <vt:lpstr>Elfad</vt:lpstr>
      <vt:lpstr>FirstBank</vt:lpstr>
      <vt:lpstr>Levitikal</vt:lpstr>
      <vt:lpstr>southenergyx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 Davies</dc:creator>
  <cp:lastModifiedBy>Dewatering Construct</cp:lastModifiedBy>
  <cp:lastPrinted>2025-12-19T12:46:14Z</cp:lastPrinted>
  <dcterms:created xsi:type="dcterms:W3CDTF">2023-12-05T11:06:00Z</dcterms:created>
  <dcterms:modified xsi:type="dcterms:W3CDTF">2026-04-21T16:06:16Z</dcterms:modified>
</cp:coreProperties>
</file>